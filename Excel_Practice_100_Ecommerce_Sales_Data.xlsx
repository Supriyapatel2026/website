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priya\Desktop\"/>
    </mc:Choice>
  </mc:AlternateContent>
  <xr:revisionPtr revIDLastSave="0" documentId="13_ncr:1_{ADA6438F-C396-4FAA-89A4-F9A4642E151D}" xr6:coauthVersionLast="47" xr6:coauthVersionMax="47" xr10:uidLastSave="{00000000-0000-0000-0000-000000000000}"/>
  <bookViews>
    <workbookView xWindow="-120" yWindow="-120" windowWidth="24240" windowHeight="13020" activeTab="4" xr2:uid="{00000000-000D-0000-FFFF-FFFF00000000}"/>
  </bookViews>
  <sheets>
    <sheet name="Sales_Data" sheetId="1" r:id="rId1"/>
    <sheet name="Exercises" sheetId="2" state="hidden" r:id="rId2"/>
    <sheet name="Product_Lookup" sheetId="3" state="hidden" r:id="rId3"/>
    <sheet name="PivotChart" sheetId="4" r:id="rId4"/>
    <sheet name="Sheet2" sheetId="5" r:id="rId5"/>
    <sheet name="Sheet3" sheetId="6" r:id="rId6"/>
  </sheets>
  <definedNames>
    <definedName name="_xlchart.v5.0" hidden="1">PivotChart!$B$51</definedName>
    <definedName name="_xlchart.v5.1" hidden="1">PivotChart!$C$57</definedName>
    <definedName name="_xlchart.v5.2" hidden="1">PivotChart!$C$58:$C$62</definedName>
    <definedName name="_xlchart.v5.3" hidden="1">PivotChart!$D$57</definedName>
    <definedName name="_xlchart.v5.4" hidden="1">PivotChart!$D$58:$D$62</definedName>
    <definedName name="_xlchart.v5.5" hidden="1">PivotChart!$A$52</definedName>
    <definedName name="_xlchart.v5.6" hidden="1">PivotChart!$A$53:$A$57</definedName>
    <definedName name="_xlchart.v5.7" hidden="1">PivotChart!$B$51</definedName>
    <definedName name="_xlchart.v5.8" hidden="1">PivotChart!$B$52</definedName>
    <definedName name="_xlchart.v5.9" hidden="1">PivotChart!$B$53:$B$57</definedName>
  </definedNames>
  <calcPr calcId="191029"/>
  <pivotCaches>
    <pivotCache cacheId="2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4" l="1"/>
  <c r="D60" i="4"/>
  <c r="D61" i="4"/>
  <c r="D62" i="4"/>
  <c r="D58" i="4"/>
  <c r="K110" i="1"/>
  <c r="K109" i="1"/>
  <c r="S93" i="1"/>
  <c r="S86" i="1"/>
  <c r="S98" i="1"/>
  <c r="S72" i="1"/>
  <c r="S71" i="1"/>
  <c r="S7" i="1"/>
  <c r="S29" i="1"/>
  <c r="S89" i="1"/>
  <c r="S61" i="1"/>
  <c r="S46" i="1"/>
  <c r="S49" i="1"/>
  <c r="S4" i="1"/>
  <c r="S18" i="1"/>
  <c r="S44" i="1"/>
  <c r="S60" i="1"/>
  <c r="S66" i="1"/>
  <c r="S83" i="1"/>
  <c r="S85" i="1"/>
  <c r="S16" i="1"/>
  <c r="S38" i="1"/>
  <c r="S8" i="1"/>
  <c r="S21" i="1"/>
  <c r="S11" i="1"/>
  <c r="S67" i="1"/>
  <c r="S80" i="1"/>
  <c r="S55" i="1"/>
  <c r="S35" i="1"/>
  <c r="S78" i="1"/>
  <c r="S25" i="1"/>
  <c r="S17" i="1"/>
  <c r="S99" i="1"/>
  <c r="S56" i="1"/>
  <c r="S76" i="1"/>
  <c r="S27" i="1"/>
  <c r="S12" i="1"/>
  <c r="S79" i="1"/>
  <c r="S30" i="1"/>
  <c r="S51" i="1"/>
  <c r="S6" i="1"/>
  <c r="S68" i="1"/>
  <c r="S33" i="1"/>
  <c r="S54" i="1"/>
  <c r="S81" i="1"/>
  <c r="S65" i="1"/>
  <c r="S90" i="1"/>
  <c r="S47" i="1"/>
  <c r="S14" i="1"/>
  <c r="S59" i="1"/>
  <c r="S92" i="1"/>
  <c r="S23" i="1"/>
  <c r="S2" i="1"/>
  <c r="S97" i="1"/>
  <c r="S41" i="1"/>
  <c r="S40" i="1"/>
  <c r="S57" i="1"/>
  <c r="S45" i="1"/>
  <c r="S88" i="1"/>
  <c r="S36" i="1"/>
  <c r="S9" i="1"/>
  <c r="S42" i="1"/>
  <c r="S100" i="1"/>
  <c r="S101" i="1"/>
  <c r="S94" i="1"/>
  <c r="S3" i="1"/>
  <c r="S32" i="1"/>
  <c r="S82" i="1"/>
  <c r="S15" i="1"/>
  <c r="S43" i="1"/>
  <c r="S84" i="1"/>
  <c r="S26" i="1"/>
  <c r="S28" i="1"/>
  <c r="S22" i="1"/>
  <c r="S37" i="1"/>
  <c r="S10" i="1"/>
  <c r="S53" i="1"/>
  <c r="S74" i="1"/>
  <c r="S87" i="1"/>
  <c r="S34" i="1"/>
  <c r="S91" i="1"/>
  <c r="S24" i="1"/>
  <c r="S95" i="1"/>
  <c r="S52" i="1"/>
  <c r="S58" i="1"/>
  <c r="S69" i="1"/>
  <c r="S19" i="1"/>
  <c r="S63" i="1"/>
  <c r="S96" i="1"/>
  <c r="S39" i="1"/>
  <c r="S5" i="1"/>
  <c r="S73" i="1"/>
  <c r="S48" i="1"/>
  <c r="S31" i="1"/>
  <c r="S13" i="1"/>
  <c r="S70" i="1"/>
  <c r="S50" i="1"/>
  <c r="S62" i="1"/>
  <c r="S77" i="1"/>
  <c r="S64" i="1"/>
  <c r="S75" i="1"/>
  <c r="S20" i="1"/>
  <c r="R86" i="1"/>
  <c r="R98" i="1"/>
  <c r="R72" i="1"/>
  <c r="R71" i="1"/>
  <c r="R7" i="1"/>
  <c r="R29" i="1"/>
  <c r="R89" i="1"/>
  <c r="R61" i="1"/>
  <c r="R46" i="1"/>
  <c r="R49" i="1"/>
  <c r="R4" i="1"/>
  <c r="R18" i="1"/>
  <c r="R44" i="1"/>
  <c r="R60" i="1"/>
  <c r="R66" i="1"/>
  <c r="R83" i="1"/>
  <c r="R85" i="1"/>
  <c r="R16" i="1"/>
  <c r="R38" i="1"/>
  <c r="R8" i="1"/>
  <c r="R21" i="1"/>
  <c r="R11" i="1"/>
  <c r="R67" i="1"/>
  <c r="R80" i="1"/>
  <c r="R55" i="1"/>
  <c r="R35" i="1"/>
  <c r="R78" i="1"/>
  <c r="R25" i="1"/>
  <c r="R17" i="1"/>
  <c r="R99" i="1"/>
  <c r="R56" i="1"/>
  <c r="R76" i="1"/>
  <c r="R27" i="1"/>
  <c r="R12" i="1"/>
  <c r="R79" i="1"/>
  <c r="R30" i="1"/>
  <c r="R51" i="1"/>
  <c r="R6" i="1"/>
  <c r="R68" i="1"/>
  <c r="R33" i="1"/>
  <c r="R54" i="1"/>
  <c r="R81" i="1"/>
  <c r="R65" i="1"/>
  <c r="R90" i="1"/>
  <c r="R47" i="1"/>
  <c r="R14" i="1"/>
  <c r="R59" i="1"/>
  <c r="R92" i="1"/>
  <c r="R23" i="1"/>
  <c r="R2" i="1"/>
  <c r="R97" i="1"/>
  <c r="R41" i="1"/>
  <c r="R40" i="1"/>
  <c r="R57" i="1"/>
  <c r="R45" i="1"/>
  <c r="R88" i="1"/>
  <c r="R36" i="1"/>
  <c r="R9" i="1"/>
  <c r="R42" i="1"/>
  <c r="R100" i="1"/>
  <c r="R101" i="1"/>
  <c r="R94" i="1"/>
  <c r="R3" i="1"/>
  <c r="R32" i="1"/>
  <c r="R82" i="1"/>
  <c r="R15" i="1"/>
  <c r="R43" i="1"/>
  <c r="R84" i="1"/>
  <c r="R26" i="1"/>
  <c r="R28" i="1"/>
  <c r="R22" i="1"/>
  <c r="R37" i="1"/>
  <c r="R10" i="1"/>
  <c r="R53" i="1"/>
  <c r="R74" i="1"/>
  <c r="R87" i="1"/>
  <c r="R34" i="1"/>
  <c r="R91" i="1"/>
  <c r="R24" i="1"/>
  <c r="R95" i="1"/>
  <c r="R52" i="1"/>
  <c r="R58" i="1"/>
  <c r="R69" i="1"/>
  <c r="R19" i="1"/>
  <c r="R63" i="1"/>
  <c r="R96" i="1"/>
  <c r="R39" i="1"/>
  <c r="R5" i="1"/>
  <c r="R73" i="1"/>
  <c r="R48" i="1"/>
  <c r="R31" i="1"/>
  <c r="R13" i="1"/>
  <c r="R70" i="1"/>
  <c r="R50" i="1"/>
  <c r="R62" i="1"/>
  <c r="R77" i="1"/>
  <c r="R64" i="1"/>
  <c r="R75" i="1"/>
  <c r="R20" i="1"/>
  <c r="R93" i="1"/>
  <c r="F121" i="1"/>
  <c r="F120" i="1"/>
  <c r="F119" i="1"/>
  <c r="F118" i="1"/>
  <c r="F116" i="1"/>
  <c r="F115" i="1"/>
  <c r="F114" i="1"/>
  <c r="F113" i="1"/>
  <c r="D107" i="1"/>
  <c r="D108" i="1"/>
  <c r="D109" i="1"/>
  <c r="D106" i="1"/>
  <c r="D104" i="1"/>
  <c r="D105" i="1"/>
  <c r="H109" i="1"/>
  <c r="H110" i="1"/>
  <c r="G106" i="1"/>
  <c r="G108" i="1"/>
  <c r="G107" i="1"/>
  <c r="A104" i="1"/>
  <c r="P103" i="1"/>
  <c r="M106" i="1"/>
  <c r="M105" i="1"/>
  <c r="K103" i="1"/>
  <c r="M104" i="1"/>
  <c r="M103" i="1"/>
  <c r="H103" i="1"/>
  <c r="H102" i="1"/>
</calcChain>
</file>

<file path=xl/sharedStrings.xml><?xml version="1.0" encoding="utf-8"?>
<sst xmlns="http://schemas.openxmlformats.org/spreadsheetml/2006/main" count="1149" uniqueCount="302">
  <si>
    <t>Order_ID</t>
  </si>
  <si>
    <t>Order_Date</t>
  </si>
  <si>
    <t>Customer_Name</t>
  </si>
  <si>
    <t>City</t>
  </si>
  <si>
    <t>State</t>
  </si>
  <si>
    <t>Product</t>
  </si>
  <si>
    <t>Category</t>
  </si>
  <si>
    <t>Quantity</t>
  </si>
  <si>
    <t>Unit_Price</t>
  </si>
  <si>
    <t>Discount_%</t>
  </si>
  <si>
    <t>Gross_Sales</t>
  </si>
  <si>
    <t>Discount_Amount</t>
  </si>
  <si>
    <t>Net_Sales</t>
  </si>
  <si>
    <t>Sales_Channel</t>
  </si>
  <si>
    <t>Payment_Method</t>
  </si>
  <si>
    <t>Order_Status</t>
  </si>
  <si>
    <t>Salesperson</t>
  </si>
  <si>
    <t>ORD0001</t>
  </si>
  <si>
    <t>Kavya Yadav</t>
  </si>
  <si>
    <t>Lucknow</t>
  </si>
  <si>
    <t>Uttar Pradesh</t>
  </si>
  <si>
    <t>Laptop</t>
  </si>
  <si>
    <t>Electronics</t>
  </si>
  <si>
    <t>Marketplace</t>
  </si>
  <si>
    <t>Net Banking</t>
  </si>
  <si>
    <t>Delivered</t>
  </si>
  <si>
    <t>Aman</t>
  </si>
  <si>
    <t>ORD0002</t>
  </si>
  <si>
    <t>Kavya Patel</t>
  </si>
  <si>
    <t>Prayagraj</t>
  </si>
  <si>
    <t>Tablet</t>
  </si>
  <si>
    <t>Website</t>
  </si>
  <si>
    <t>Esha</t>
  </si>
  <si>
    <t>ORD0003</t>
  </si>
  <si>
    <t>Amit Yadav</t>
  </si>
  <si>
    <t>Agra</t>
  </si>
  <si>
    <t>ORD0004</t>
  </si>
  <si>
    <t>Priya Patel</t>
  </si>
  <si>
    <t>Noida</t>
  </si>
  <si>
    <t>Office Chair</t>
  </si>
  <si>
    <t>Furniture</t>
  </si>
  <si>
    <t>Cash on Delivery</t>
  </si>
  <si>
    <t>Chetan</t>
  </si>
  <si>
    <t>ORD0005</t>
  </si>
  <si>
    <t>Pooja Yadav</t>
  </si>
  <si>
    <t>Bhopal</t>
  </si>
  <si>
    <t>Madhya Pradesh</t>
  </si>
  <si>
    <t>UPI</t>
  </si>
  <si>
    <t>Deepak</t>
  </si>
  <si>
    <t>ORD0006</t>
  </si>
  <si>
    <t>Ananya Agarwal</t>
  </si>
  <si>
    <t>Pen Set</t>
  </si>
  <si>
    <t>Stationery</t>
  </si>
  <si>
    <t>Credit Card</t>
  </si>
  <si>
    <t>ORD0007</t>
  </si>
  <si>
    <t>Aditya Verma</t>
  </si>
  <si>
    <t>Kanpur</t>
  </si>
  <si>
    <t>Keyboard</t>
  </si>
  <si>
    <t>Accessories</t>
  </si>
  <si>
    <t>Debit Card</t>
  </si>
  <si>
    <t>ORD0008</t>
  </si>
  <si>
    <t>Riya Kumar</t>
  </si>
  <si>
    <t>Mobile App</t>
  </si>
  <si>
    <t>Bhavna</t>
  </si>
  <si>
    <t>ORD0009</t>
  </si>
  <si>
    <t>Simran Agarwal</t>
  </si>
  <si>
    <t>Smartwatch</t>
  </si>
  <si>
    <t>ORD0010</t>
  </si>
  <si>
    <t>Neha Patel</t>
  </si>
  <si>
    <t>Varanasi</t>
  </si>
  <si>
    <t>Webcam</t>
  </si>
  <si>
    <t>ORD0011</t>
  </si>
  <si>
    <t>Priya Tiwari</t>
  </si>
  <si>
    <t>Delhi</t>
  </si>
  <si>
    <t>Speaker</t>
  </si>
  <si>
    <t>Cancelled</t>
  </si>
  <si>
    <t>ORD0012</t>
  </si>
  <si>
    <t>Mohit Yadav</t>
  </si>
  <si>
    <t>Notebook</t>
  </si>
  <si>
    <t>ORD0013</t>
  </si>
  <si>
    <t>Mohit Sharma</t>
  </si>
  <si>
    <t>Mouse</t>
  </si>
  <si>
    <t>Returned</t>
  </si>
  <si>
    <t>ORD0014</t>
  </si>
  <si>
    <t>Saurabh Yadav</t>
  </si>
  <si>
    <t>Headphones</t>
  </si>
  <si>
    <t>ORD0015</t>
  </si>
  <si>
    <t>Ishita Patel</t>
  </si>
  <si>
    <t>Patna</t>
  </si>
  <si>
    <t>Bihar</t>
  </si>
  <si>
    <t>ORD0016</t>
  </si>
  <si>
    <t>Rohan Yadav</t>
  </si>
  <si>
    <t>Desk</t>
  </si>
  <si>
    <t>ORD0017</t>
  </si>
  <si>
    <t>Monitor</t>
  </si>
  <si>
    <t>ORD0018</t>
  </si>
  <si>
    <t>Saurabh Agarwal</t>
  </si>
  <si>
    <t>ORD0019</t>
  </si>
  <si>
    <t>Arjun Sharma</t>
  </si>
  <si>
    <t>ORD0020</t>
  </si>
  <si>
    <t>Simran Singh</t>
  </si>
  <si>
    <t>Backpack</t>
  </si>
  <si>
    <t>ORD0021</t>
  </si>
  <si>
    <t>Ananya Verma</t>
  </si>
  <si>
    <t>ORD0022</t>
  </si>
  <si>
    <t>Karan Gupta</t>
  </si>
  <si>
    <t>Jaipur</t>
  </si>
  <si>
    <t>Rajasthan</t>
  </si>
  <si>
    <t>ORD0023</t>
  </si>
  <si>
    <t>Kavya Sharma</t>
  </si>
  <si>
    <t>Calculator</t>
  </si>
  <si>
    <t>ORD0024</t>
  </si>
  <si>
    <t>External HDD</t>
  </si>
  <si>
    <t>ORD0025</t>
  </si>
  <si>
    <t>Aditya Agarwal</t>
  </si>
  <si>
    <t>ORD0026</t>
  </si>
  <si>
    <t>Rohan Gupta</t>
  </si>
  <si>
    <t>ORD0027</t>
  </si>
  <si>
    <t>Ananya Tiwari</t>
  </si>
  <si>
    <t>ORD0028</t>
  </si>
  <si>
    <t>Kavya Gupta</t>
  </si>
  <si>
    <t>ORD0029</t>
  </si>
  <si>
    <t>USB Drive</t>
  </si>
  <si>
    <t>ORD0030</t>
  </si>
  <si>
    <t>Aditya Yadav</t>
  </si>
  <si>
    <t>ORD0031</t>
  </si>
  <si>
    <t>ORD0032</t>
  </si>
  <si>
    <t>ORD0033</t>
  </si>
  <si>
    <t>ORD0034</t>
  </si>
  <si>
    <t>ORD0035</t>
  </si>
  <si>
    <t>Rohan Verma</t>
  </si>
  <si>
    <t>ORD0036</t>
  </si>
  <si>
    <t>Karan Tiwari</t>
  </si>
  <si>
    <t>Printer</t>
  </si>
  <si>
    <t>ORD0037</t>
  </si>
  <si>
    <t>Simran Mishra</t>
  </si>
  <si>
    <t>ORD0038</t>
  </si>
  <si>
    <t>Simran Sharma</t>
  </si>
  <si>
    <t>ORD0039</t>
  </si>
  <si>
    <t>Priya Gupta</t>
  </si>
  <si>
    <t>ORD0040</t>
  </si>
  <si>
    <t>Karan Singh</t>
  </si>
  <si>
    <t>ORD0041</t>
  </si>
  <si>
    <t>Ishita Mishra</t>
  </si>
  <si>
    <t>Power Bank</t>
  </si>
  <si>
    <t>ORD0042</t>
  </si>
  <si>
    <t>Mohit Agarwal</t>
  </si>
  <si>
    <t>ORD0043</t>
  </si>
  <si>
    <t>Ishita Yadav</t>
  </si>
  <si>
    <t>ORD0044</t>
  </si>
  <si>
    <t>ORD0045</t>
  </si>
  <si>
    <t>Arjun Tiwari</t>
  </si>
  <si>
    <t>Smartphone</t>
  </si>
  <si>
    <t>ORD0046</t>
  </si>
  <si>
    <t>Nisha Kumar</t>
  </si>
  <si>
    <t>Shipped</t>
  </si>
  <si>
    <t>ORD0047</t>
  </si>
  <si>
    <t>Vikas Mishra</t>
  </si>
  <si>
    <t>ORD0048</t>
  </si>
  <si>
    <t>Simran Patel</t>
  </si>
  <si>
    <t>ORD0049</t>
  </si>
  <si>
    <t>Aarav Agarwal</t>
  </si>
  <si>
    <t>ORD0050</t>
  </si>
  <si>
    <t>Kavya Agarwal</t>
  </si>
  <si>
    <t>ORD0051</t>
  </si>
  <si>
    <t>ORD0052</t>
  </si>
  <si>
    <t>Rahul Kumar</t>
  </si>
  <si>
    <t>ORD0053</t>
  </si>
  <si>
    <t>Vikas Patel</t>
  </si>
  <si>
    <t>ORD0054</t>
  </si>
  <si>
    <t>Aditya Sharma</t>
  </si>
  <si>
    <t>ORD0055</t>
  </si>
  <si>
    <t>Arjun Gupta</t>
  </si>
  <si>
    <t>ORD0056</t>
  </si>
  <si>
    <t>Pooja Agarwal</t>
  </si>
  <si>
    <t>ORD0057</t>
  </si>
  <si>
    <t>ORD0058</t>
  </si>
  <si>
    <t>Aarav Patel</t>
  </si>
  <si>
    <t>ORD0059</t>
  </si>
  <si>
    <t>Kavya Kumar</t>
  </si>
  <si>
    <t>ORD0060</t>
  </si>
  <si>
    <t>Rohan Kumar</t>
  </si>
  <si>
    <t>ORD0061</t>
  </si>
  <si>
    <t>ORD0062</t>
  </si>
  <si>
    <t>Nisha Tiwari</t>
  </si>
  <si>
    <t>ORD0063</t>
  </si>
  <si>
    <t>Saurabh Mishra</t>
  </si>
  <si>
    <t>ORD0064</t>
  </si>
  <si>
    <t>ORD0065</t>
  </si>
  <si>
    <t>ORD0066</t>
  </si>
  <si>
    <t>Vikas Sharma</t>
  </si>
  <si>
    <t>ORD0067</t>
  </si>
  <si>
    <t>Arjun Mishra</t>
  </si>
  <si>
    <t>ORD0068</t>
  </si>
  <si>
    <t>Aditya Singh</t>
  </si>
  <si>
    <t>ORD0069</t>
  </si>
  <si>
    <t>Ishita Verma</t>
  </si>
  <si>
    <t>ORD0070</t>
  </si>
  <si>
    <t>ORD0071</t>
  </si>
  <si>
    <t>Arjun Agarwal</t>
  </si>
  <si>
    <t>ORD0072</t>
  </si>
  <si>
    <t>Vikas Agarwal</t>
  </si>
  <si>
    <t>ORD0073</t>
  </si>
  <si>
    <t>ORD0074</t>
  </si>
  <si>
    <t>Vikas Tiwari</t>
  </si>
  <si>
    <t>ORD0075</t>
  </si>
  <si>
    <t>ORD0076</t>
  </si>
  <si>
    <t>ORD0077</t>
  </si>
  <si>
    <t>Neha Mishra</t>
  </si>
  <si>
    <t>ORD0078</t>
  </si>
  <si>
    <t>ORD0079</t>
  </si>
  <si>
    <t>ORD0080</t>
  </si>
  <si>
    <t>ORD0081</t>
  </si>
  <si>
    <t>Arjun Yadav</t>
  </si>
  <si>
    <t>ORD0082</t>
  </si>
  <si>
    <t>Kavya Singh</t>
  </si>
  <si>
    <t>ORD0083</t>
  </si>
  <si>
    <t>Mohit Gupta</t>
  </si>
  <si>
    <t>ORD0084</t>
  </si>
  <si>
    <t>Amit Tiwari</t>
  </si>
  <si>
    <t>ORD0085</t>
  </si>
  <si>
    <t>Aditya Mishra</t>
  </si>
  <si>
    <t>ORD0086</t>
  </si>
  <si>
    <t>ORD0087</t>
  </si>
  <si>
    <t>ORD0088</t>
  </si>
  <si>
    <t>ORD0089</t>
  </si>
  <si>
    <t>Pooja Sharma</t>
  </si>
  <si>
    <t>ORD0090</t>
  </si>
  <si>
    <t>Neha Singh</t>
  </si>
  <si>
    <t>ORD0091</t>
  </si>
  <si>
    <t>Vikas Kumar</t>
  </si>
  <si>
    <t>ORD0092</t>
  </si>
  <si>
    <t>Simran Gupta</t>
  </si>
  <si>
    <t>ORD0093</t>
  </si>
  <si>
    <t>ORD0094</t>
  </si>
  <si>
    <t>Pooja Verma</t>
  </si>
  <si>
    <t>ORD0095</t>
  </si>
  <si>
    <t>Aditya Gupta</t>
  </si>
  <si>
    <t>ORD0096</t>
  </si>
  <si>
    <t>Riya Singh</t>
  </si>
  <si>
    <t>ORD0097</t>
  </si>
  <si>
    <t>ORD0098</t>
  </si>
  <si>
    <t>Priya Kumar</t>
  </si>
  <si>
    <t>ORD0099</t>
  </si>
  <si>
    <t>Kavya Mishra</t>
  </si>
  <si>
    <t>ORD0100</t>
  </si>
  <si>
    <t>Nisha Yadav</t>
  </si>
  <si>
    <t>Excel_Practice_Exercises</t>
  </si>
  <si>
    <t>Calculate Total Net Sales, Average Order Value, Maximum and Minimum Net Sales.</t>
  </si>
  <si>
    <t>Use SUMIF/SUMIFS to calculate sales by category, city, salesperson and status.</t>
  </si>
  <si>
    <t>Use COUNTIF/COUNTIFS to count orders by status, channel and payment method.</t>
  </si>
  <si>
    <t>Use IF/IFS to create a Sales_Performance column based on Net_Sales.</t>
  </si>
  <si>
    <t>Use XLOOKUP/VLOOKUP to retrieve product category and price from a separate lookup table.</t>
  </si>
  <si>
    <t>Use LEFT, RIGHT, MID, LEN, TRIM, UPPER/LOWER/PROPER on Customer_Name and Order_ID.</t>
  </si>
  <si>
    <t>Extract Month, Quarter, Day and Weekday from Order_Date.</t>
  </si>
  <si>
    <t>Create a PivotTable: Category vs Net Sales and Quantity.</t>
  </si>
  <si>
    <t>Create a PivotTable: City vs Salesperson vs Net Sales.</t>
  </si>
  <si>
    <t>Create a PivotChart showing monthly Net Sales.</t>
  </si>
  <si>
    <t>Identify top 5 products and top 5 customers by Net Sales.</t>
  </si>
  <si>
    <t>Calculate discount rate, return/cancellation rate and delivered-order rate.</t>
  </si>
  <si>
    <t>Apply conditional formatting to highlight high sales, returns and discounts.</t>
  </si>
  <si>
    <t>Create a dashboard with KPIs, slicers and charts.</t>
  </si>
  <si>
    <t>average</t>
  </si>
  <si>
    <t>Highest</t>
  </si>
  <si>
    <t>Lowest</t>
  </si>
  <si>
    <t>Total Order</t>
  </si>
  <si>
    <t>Delivered &amp; Website</t>
  </si>
  <si>
    <t>Shipped &amp; Mobile App</t>
  </si>
  <si>
    <t>Delhi &amp; Furniture</t>
  </si>
  <si>
    <t>Delhi &amp; Electronics</t>
  </si>
  <si>
    <t>Delhi &amp; Accessories</t>
  </si>
  <si>
    <t>Utter Pradesh &amp; Electronics</t>
  </si>
  <si>
    <t>Utter Pradesh &amp; Furniture</t>
  </si>
  <si>
    <t>Utter Pradesh &amp; Accessories</t>
  </si>
  <si>
    <t>Order Above50000</t>
  </si>
  <si>
    <t>Order B/W Range 10000 &amp; 40000</t>
  </si>
  <si>
    <t>10000 &amp; 20000</t>
  </si>
  <si>
    <t>10000 &amp; 50000</t>
  </si>
  <si>
    <t>Electronics total sales</t>
  </si>
  <si>
    <t>Accessirues</t>
  </si>
  <si>
    <t>Sales Profmance</t>
  </si>
  <si>
    <t>Sales_Classification</t>
  </si>
  <si>
    <t>Row Labels</t>
  </si>
  <si>
    <t>Grand Total</t>
  </si>
  <si>
    <t>Aug</t>
  </si>
  <si>
    <t>May</t>
  </si>
  <si>
    <t>Mar</t>
  </si>
  <si>
    <t>Jun</t>
  </si>
  <si>
    <t>Feb</t>
  </si>
  <si>
    <t>Jul</t>
  </si>
  <si>
    <t>Apr</t>
  </si>
  <si>
    <t>Jan</t>
  </si>
  <si>
    <t>Sum of Gross_Sales</t>
  </si>
  <si>
    <t>Sum of Net_Sales</t>
  </si>
  <si>
    <t>Sum of Discount_Amount</t>
  </si>
  <si>
    <t>Sum of Discount_%</t>
  </si>
  <si>
    <t>Low</t>
  </si>
  <si>
    <t>Sum of Quantity</t>
  </si>
  <si>
    <t>Sum of Unit_Price</t>
  </si>
  <si>
    <t>09-May</t>
  </si>
  <si>
    <t>Sates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</si>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</sst>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0" fontId="0" fillId="0" borderId="0" xfId="0" applyAlignment="1">
      <alignment horizontal="left" indent="8"/>
    </xf>
    <xf numFmtId="0" fontId="0" fillId="0" borderId="0" xfId="0" applyAlignment="1">
      <alignment horizontal="left" indent="9"/>
    </xf>
    <xf numFmtId="0" fontId="0" fillId="0" borderId="0" xfId="0" applyAlignment="1">
      <alignment horizontal="left" indent="10"/>
    </xf>
    <xf numFmtId="0" fontId="0" fillId="0" borderId="0" xfId="0" applyAlignment="1">
      <alignment horizontal="left" indent="11"/>
    </xf>
    <xf numFmtId="0" fontId="0" fillId="0" borderId="0" xfId="0" applyAlignment="1">
      <alignment horizontal="left" indent="12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[Excel_Practice_100_Ecommerce_Sales_Data.xlsx]PivotChart!PivotTable1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PivotChart!$B$3:$B$10</c:f>
              <c:strCache>
                <c:ptCount val="7"/>
                <c:pt idx="0">
                  <c:v>Aarav Agarwal</c:v>
                </c:pt>
                <c:pt idx="1">
                  <c:v>Aarav Patel</c:v>
                </c:pt>
                <c:pt idx="2">
                  <c:v>Aditya Agarwal</c:v>
                </c:pt>
                <c:pt idx="3">
                  <c:v>Aditya Gupta</c:v>
                </c:pt>
                <c:pt idx="4">
                  <c:v>Aditya Mishra</c:v>
                </c:pt>
                <c:pt idx="5">
                  <c:v>Aditya Sharma</c:v>
                </c:pt>
                <c:pt idx="6">
                  <c:v>Aditya Singh</c:v>
                </c:pt>
              </c:strCache>
            </c:strRef>
          </c:cat>
          <c:val>
            <c:numRef>
              <c:f>PivotChart!$C$3:$C$10</c:f>
              <c:numCache>
                <c:formatCode>General</c:formatCode>
                <c:ptCount val="7"/>
                <c:pt idx="0">
                  <c:v>53320</c:v>
                </c:pt>
                <c:pt idx="1">
                  <c:v>6600</c:v>
                </c:pt>
                <c:pt idx="2">
                  <c:v>44360</c:v>
                </c:pt>
                <c:pt idx="3">
                  <c:v>9330</c:v>
                </c:pt>
                <c:pt idx="4">
                  <c:v>1420</c:v>
                </c:pt>
                <c:pt idx="5">
                  <c:v>1760</c:v>
                </c:pt>
                <c:pt idx="6">
                  <c:v>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D-47AE-A91B-65949481D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736623"/>
        <c:axId val="212428815"/>
      </c:barChart>
      <c:catAx>
        <c:axId val="44773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8815"/>
        <c:crosses val="autoZero"/>
        <c:auto val="1"/>
        <c:lblAlgn val="ctr"/>
        <c:lblOffset val="100"/>
        <c:noMultiLvlLbl val="0"/>
      </c:catAx>
      <c:valAx>
        <c:axId val="21242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73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[Excel_Practice_100_Ecommerce_Sales_Data.xlsx]PivotChart!PivotTable2</c:name>
    <c:fmtId val="2"/>
  </c:pivotSource>
  <c:chart>
    <c:title>
      <c:layout>
        <c:manualLayout>
          <c:xMode val="edge"/>
          <c:yMode val="edge"/>
          <c:x val="0.437564995733558"/>
          <c:y val="9.520673033741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PivotChart!$H$2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PivotChart!$G$3:$G$9</c:f>
              <c:strCache>
                <c:ptCount val="6"/>
                <c:pt idx="0">
                  <c:v>Aditya Sharma</c:v>
                </c:pt>
                <c:pt idx="1">
                  <c:v>Aditya Singh</c:v>
                </c:pt>
                <c:pt idx="2">
                  <c:v>Aditya Verma</c:v>
                </c:pt>
                <c:pt idx="3">
                  <c:v>Aditya Yadav</c:v>
                </c:pt>
                <c:pt idx="4">
                  <c:v>Amit Tiwari</c:v>
                </c:pt>
                <c:pt idx="5">
                  <c:v>Amit Yadav</c:v>
                </c:pt>
              </c:strCache>
            </c:strRef>
          </c:cat>
          <c:val>
            <c:numRef>
              <c:f>PivotChart!$H$3:$H$9</c:f>
              <c:numCache>
                <c:formatCode>General</c:formatCode>
                <c:ptCount val="6"/>
                <c:pt idx="0">
                  <c:v>1584</c:v>
                </c:pt>
                <c:pt idx="1">
                  <c:v>5420</c:v>
                </c:pt>
                <c:pt idx="2">
                  <c:v>3744</c:v>
                </c:pt>
                <c:pt idx="3">
                  <c:v>1782</c:v>
                </c:pt>
                <c:pt idx="4">
                  <c:v>23698</c:v>
                </c:pt>
                <c:pt idx="5">
                  <c:v>136988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7-4AE0-A85D-81E5EE689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713596047"/>
        <c:axId val="212471055"/>
      </c:barChart>
      <c:catAx>
        <c:axId val="7135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71055"/>
        <c:crosses val="autoZero"/>
        <c:auto val="1"/>
        <c:lblAlgn val="ctr"/>
        <c:lblOffset val="100"/>
        <c:noMultiLvlLbl val="0"/>
      </c:catAx>
      <c:valAx>
        <c:axId val="212471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5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[Excel_Practice_100_Ecommerce_Sales_Data.xlsx]PivotChart!PivotTable3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PivotChart!$L$2</c:f>
              <c:strCache>
                <c:ptCount val="1"/>
                <c:pt idx="0">
                  <c:v>Sum of Discount_%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PivotChart!$K$3:$K$9</c:f>
              <c:strCache>
                <c:ptCount val="6"/>
                <c:pt idx="0">
                  <c:v>Delhi</c:v>
                </c:pt>
                <c:pt idx="1">
                  <c:v>Kanpur</c:v>
                </c:pt>
                <c:pt idx="2">
                  <c:v>Lucknow</c:v>
                </c:pt>
                <c:pt idx="3">
                  <c:v>Noida</c:v>
                </c:pt>
                <c:pt idx="4">
                  <c:v>Prayagraj</c:v>
                </c:pt>
                <c:pt idx="5">
                  <c:v>Varanasi</c:v>
                </c:pt>
              </c:strCache>
            </c:strRef>
          </c:cat>
          <c:val>
            <c:numRef>
              <c:f>PivotChart!$L$3:$L$9</c:f>
              <c:numCache>
                <c:formatCode>General</c:formatCode>
                <c:ptCount val="6"/>
                <c:pt idx="0">
                  <c:v>1.6000000000000003</c:v>
                </c:pt>
                <c:pt idx="1">
                  <c:v>0.70000000000000007</c:v>
                </c:pt>
                <c:pt idx="2">
                  <c:v>1.05</c:v>
                </c:pt>
                <c:pt idx="3">
                  <c:v>1.1000000000000001</c:v>
                </c:pt>
                <c:pt idx="4">
                  <c:v>1.05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D-4797-82C7-6CEC42F2A78E}"/>
            </c:ext>
          </c:extLst>
        </c:ser>
        <c:ser>
          <c:idx val="1"/>
          <c:order val="1"/>
          <c:tx>
            <c:strRef>
              <c:f>PivotChart!$M$2</c:f>
              <c:strCache>
                <c:ptCount val="1"/>
                <c:pt idx="0">
                  <c:v>Sum of Gross_Sales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PivotChart!$K$3:$K$9</c:f>
              <c:strCache>
                <c:ptCount val="6"/>
                <c:pt idx="0">
                  <c:v>Delhi</c:v>
                </c:pt>
                <c:pt idx="1">
                  <c:v>Kanpur</c:v>
                </c:pt>
                <c:pt idx="2">
                  <c:v>Lucknow</c:v>
                </c:pt>
                <c:pt idx="3">
                  <c:v>Noida</c:v>
                </c:pt>
                <c:pt idx="4">
                  <c:v>Prayagraj</c:v>
                </c:pt>
                <c:pt idx="5">
                  <c:v>Varanasi</c:v>
                </c:pt>
              </c:strCache>
            </c:strRef>
          </c:cat>
          <c:val>
            <c:numRef>
              <c:f>PivotChart!$M$3:$M$9</c:f>
              <c:numCache>
                <c:formatCode>General</c:formatCode>
                <c:ptCount val="6"/>
                <c:pt idx="0">
                  <c:v>159620</c:v>
                </c:pt>
                <c:pt idx="1">
                  <c:v>180640</c:v>
                </c:pt>
                <c:pt idx="2">
                  <c:v>246580</c:v>
                </c:pt>
                <c:pt idx="3">
                  <c:v>330920</c:v>
                </c:pt>
                <c:pt idx="4">
                  <c:v>312690</c:v>
                </c:pt>
                <c:pt idx="5">
                  <c:v>38070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7D-4797-82C7-6CEC42F2A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8634463"/>
        <c:axId val="212480175"/>
      </c:barChart>
      <c:catAx>
        <c:axId val="72863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0175"/>
        <c:crosses val="autoZero"/>
        <c:auto val="1"/>
        <c:lblAlgn val="ctr"/>
        <c:lblOffset val="100"/>
        <c:noMultiLvlLbl val="0"/>
      </c:catAx>
      <c:valAx>
        <c:axId val="2124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63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[Excel_Practice_100_Ecommerce_Sales_Data.xlsx]PivotChart!PivotTable4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PivotChart!$R$2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PivotChart!$Q$3:$Q$23</c:f>
              <c:strCache>
                <c:ptCount val="20"/>
                <c:pt idx="0">
                  <c:v>Backpack</c:v>
                </c:pt>
                <c:pt idx="1">
                  <c:v>Calculator</c:v>
                </c:pt>
                <c:pt idx="2">
                  <c:v>Desk</c:v>
                </c:pt>
                <c:pt idx="3">
                  <c:v>External HDD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Mouse</c:v>
                </c:pt>
                <c:pt idx="9">
                  <c:v>Notebook</c:v>
                </c:pt>
                <c:pt idx="10">
                  <c:v>Office Chair</c:v>
                </c:pt>
                <c:pt idx="11">
                  <c:v>Pen Set</c:v>
                </c:pt>
                <c:pt idx="12">
                  <c:v>Power Bank</c:v>
                </c:pt>
                <c:pt idx="13">
                  <c:v>Printer</c:v>
                </c:pt>
                <c:pt idx="14">
                  <c:v>Smartphone</c:v>
                </c:pt>
                <c:pt idx="15">
                  <c:v>Smartwatch</c:v>
                </c:pt>
                <c:pt idx="16">
                  <c:v>Speaker</c:v>
                </c:pt>
                <c:pt idx="17">
                  <c:v>Tablet</c:v>
                </c:pt>
                <c:pt idx="18">
                  <c:v>USB Drive</c:v>
                </c:pt>
                <c:pt idx="19">
                  <c:v>Webcam</c:v>
                </c:pt>
              </c:strCache>
            </c:strRef>
          </c:cat>
          <c:val>
            <c:numRef>
              <c:f>PivotChart!$R$3:$R$23</c:f>
              <c:numCache>
                <c:formatCode>General</c:formatCode>
                <c:ptCount val="20"/>
                <c:pt idx="0">
                  <c:v>9964.5</c:v>
                </c:pt>
                <c:pt idx="1">
                  <c:v>3820</c:v>
                </c:pt>
                <c:pt idx="2">
                  <c:v>85241</c:v>
                </c:pt>
                <c:pt idx="3">
                  <c:v>50473.5</c:v>
                </c:pt>
                <c:pt idx="4">
                  <c:v>15173</c:v>
                </c:pt>
                <c:pt idx="5">
                  <c:v>15803</c:v>
                </c:pt>
                <c:pt idx="6">
                  <c:v>1559470</c:v>
                </c:pt>
                <c:pt idx="7">
                  <c:v>193815.5</c:v>
                </c:pt>
                <c:pt idx="8">
                  <c:v>7855</c:v>
                </c:pt>
                <c:pt idx="9">
                  <c:v>1992.5</c:v>
                </c:pt>
                <c:pt idx="10">
                  <c:v>137609</c:v>
                </c:pt>
                <c:pt idx="11">
                  <c:v>2166</c:v>
                </c:pt>
                <c:pt idx="12">
                  <c:v>25176</c:v>
                </c:pt>
                <c:pt idx="13">
                  <c:v>65711.5</c:v>
                </c:pt>
                <c:pt idx="14">
                  <c:v>204216</c:v>
                </c:pt>
                <c:pt idx="15">
                  <c:v>76731</c:v>
                </c:pt>
                <c:pt idx="16">
                  <c:v>38074.5</c:v>
                </c:pt>
                <c:pt idx="17">
                  <c:v>210045.5</c:v>
                </c:pt>
                <c:pt idx="18">
                  <c:v>15711</c:v>
                </c:pt>
                <c:pt idx="19">
                  <c:v>45096.5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61-413E-A844-17BDE8E9D0D5}"/>
            </c:ext>
          </c:extLst>
        </c:ser>
        <c:ser>
          <c:idx val="1"/>
          <c:order val="1"/>
          <c:tx>
            <c:strRef>
              <c:f>PivotChart!$S$2</c:f>
              <c:strCache>
                <c:ptCount val="1"/>
                <c:pt idx="0">
                  <c:v>Sum of Gross_Sales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PivotChart!$Q$3:$Q$23</c:f>
              <c:strCache>
                <c:ptCount val="20"/>
                <c:pt idx="0">
                  <c:v>Backpack</c:v>
                </c:pt>
                <c:pt idx="1">
                  <c:v>Calculator</c:v>
                </c:pt>
                <c:pt idx="2">
                  <c:v>Desk</c:v>
                </c:pt>
                <c:pt idx="3">
                  <c:v>External HDD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Mouse</c:v>
                </c:pt>
                <c:pt idx="9">
                  <c:v>Notebook</c:v>
                </c:pt>
                <c:pt idx="10">
                  <c:v>Office Chair</c:v>
                </c:pt>
                <c:pt idx="11">
                  <c:v>Pen Set</c:v>
                </c:pt>
                <c:pt idx="12">
                  <c:v>Power Bank</c:v>
                </c:pt>
                <c:pt idx="13">
                  <c:v>Printer</c:v>
                </c:pt>
                <c:pt idx="14">
                  <c:v>Smartphone</c:v>
                </c:pt>
                <c:pt idx="15">
                  <c:v>Smartwatch</c:v>
                </c:pt>
                <c:pt idx="16">
                  <c:v>Speaker</c:v>
                </c:pt>
                <c:pt idx="17">
                  <c:v>Tablet</c:v>
                </c:pt>
                <c:pt idx="18">
                  <c:v>USB Drive</c:v>
                </c:pt>
                <c:pt idx="19">
                  <c:v>Webcam</c:v>
                </c:pt>
              </c:strCache>
            </c:strRef>
          </c:cat>
          <c:val>
            <c:numRef>
              <c:f>PivotChart!$S$3:$S$23</c:f>
              <c:numCache>
                <c:formatCode>General</c:formatCode>
                <c:ptCount val="20"/>
                <c:pt idx="0">
                  <c:v>10730</c:v>
                </c:pt>
                <c:pt idx="1">
                  <c:v>4250</c:v>
                </c:pt>
                <c:pt idx="2">
                  <c:v>96100</c:v>
                </c:pt>
                <c:pt idx="3">
                  <c:v>60910</c:v>
                </c:pt>
                <c:pt idx="4">
                  <c:v>15980</c:v>
                </c:pt>
                <c:pt idx="5">
                  <c:v>17830</c:v>
                </c:pt>
                <c:pt idx="6">
                  <c:v>1634710</c:v>
                </c:pt>
                <c:pt idx="7">
                  <c:v>206370</c:v>
                </c:pt>
                <c:pt idx="8">
                  <c:v>8440</c:v>
                </c:pt>
                <c:pt idx="9">
                  <c:v>2240</c:v>
                </c:pt>
                <c:pt idx="10">
                  <c:v>141100</c:v>
                </c:pt>
                <c:pt idx="11">
                  <c:v>2590</c:v>
                </c:pt>
                <c:pt idx="12">
                  <c:v>27710</c:v>
                </c:pt>
                <c:pt idx="13">
                  <c:v>71620</c:v>
                </c:pt>
                <c:pt idx="14">
                  <c:v>222250</c:v>
                </c:pt>
                <c:pt idx="15">
                  <c:v>85070</c:v>
                </c:pt>
                <c:pt idx="16">
                  <c:v>45440</c:v>
                </c:pt>
                <c:pt idx="17">
                  <c:v>236310</c:v>
                </c:pt>
                <c:pt idx="18">
                  <c:v>17600</c:v>
                </c:pt>
                <c:pt idx="19">
                  <c:v>48340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61-413E-A844-17BDE8E9D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53263"/>
        <c:axId val="212466255"/>
      </c:barChart>
      <c:catAx>
        <c:axId val="54525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66255"/>
        <c:crosses val="autoZero"/>
        <c:auto val="1"/>
        <c:lblAlgn val="ctr"/>
        <c:lblOffset val="100"/>
        <c:noMultiLvlLbl val="0"/>
      </c:catAx>
      <c:valAx>
        <c:axId val="21246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5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[Excel_Practice_100_Ecommerce_Sales_Data.xlsx]PivotChart!PivotTable5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PivotChart!$C$28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PivotChart!$B$29:$B$37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PivotChart!$C$29:$C$37</c:f>
              <c:numCache>
                <c:formatCode>General</c:formatCode>
                <c:ptCount val="8"/>
                <c:pt idx="0">
                  <c:v>525982.5</c:v>
                </c:pt>
                <c:pt idx="1">
                  <c:v>203187</c:v>
                </c:pt>
                <c:pt idx="2">
                  <c:v>569955</c:v>
                </c:pt>
                <c:pt idx="3">
                  <c:v>187843.5</c:v>
                </c:pt>
                <c:pt idx="4">
                  <c:v>431359</c:v>
                </c:pt>
                <c:pt idx="5">
                  <c:v>123646.5</c:v>
                </c:pt>
                <c:pt idx="6">
                  <c:v>350634.5</c:v>
                </c:pt>
                <c:pt idx="7">
                  <c:v>371537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2-4DDE-B267-00B870ACD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55998319"/>
        <c:axId val="212489295"/>
      </c:barChart>
      <c:catAx>
        <c:axId val="65599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9295"/>
        <c:crosses val="autoZero"/>
        <c:auto val="1"/>
        <c:lblAlgn val="ctr"/>
        <c:lblOffset val="100"/>
        <c:noMultiLvlLbl val="0"/>
      </c:catAx>
      <c:valAx>
        <c:axId val="21248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9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[Excel_Practice_100_Ecommerce_Sales_Data.xlsx]PivotChart!PivotTable6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PivotChart!$I$26</c:f>
              <c:strCache>
                <c:ptCount val="1"/>
                <c:pt idx="0">
                  <c:v>Sum of Quantity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PivotChart!$H$27:$H$40</c:f>
              <c:multiLvlStrCache>
                <c:ptCount val="1"/>
                <c:lvl>
                  <c:pt idx="0">
                    <c:v>May</c:v>
                  </c:pt>
                </c:lvl>
                <c:lvl>
                  <c:pt idx="0">
                    <c:v>09-May</c:v>
                  </c:pt>
                </c:lvl>
                <c:lvl>
                  <c:pt idx="0">
                    <c:v>Low</c:v>
                  </c:pt>
                </c:lvl>
                <c:lvl>
                  <c:pt idx="0">
                    <c:v>Low</c:v>
                  </c:pt>
                </c:lvl>
                <c:lvl>
                  <c:pt idx="0">
                    <c:v>Esha</c:v>
                  </c:pt>
                </c:lvl>
                <c:lvl>
                  <c:pt idx="0">
                    <c:v>Returned</c:v>
                  </c:pt>
                </c:lvl>
                <c:lvl>
                  <c:pt idx="0">
                    <c:v>UPI</c:v>
                  </c:pt>
                </c:lvl>
                <c:lvl>
                  <c:pt idx="0">
                    <c:v>Mobile App</c:v>
                  </c:pt>
                </c:lvl>
                <c:lvl>
                  <c:pt idx="0">
                    <c:v>Electronics</c:v>
                  </c:pt>
                </c:lvl>
                <c:lvl>
                  <c:pt idx="0">
                    <c:v>Smartwatch</c:v>
                  </c:pt>
                </c:lvl>
                <c:lvl>
                  <c:pt idx="0">
                    <c:v>Delhi</c:v>
                  </c:pt>
                </c:lvl>
                <c:lvl>
                  <c:pt idx="0">
                    <c:v>Delhi</c:v>
                  </c:pt>
                </c:lvl>
                <c:lvl>
                  <c:pt idx="0">
                    <c:v>Amit Yadav</c:v>
                  </c:pt>
                </c:lvl>
              </c:multiLvlStrCache>
            </c:multiLvlStrRef>
          </c:cat>
          <c:val>
            <c:numRef>
              <c:f>PivotChart!$I$27:$I$40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8-4834-8BEB-A38916A6E0A9}"/>
            </c:ext>
          </c:extLst>
        </c:ser>
        <c:ser>
          <c:idx val="1"/>
          <c:order val="1"/>
          <c:tx>
            <c:strRef>
              <c:f>PivotChart!$J$26</c:f>
              <c:strCache>
                <c:ptCount val="1"/>
                <c:pt idx="0">
                  <c:v>Sum of Unit_Price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PivotChart!$H$27:$H$40</c:f>
              <c:multiLvlStrCache>
                <c:ptCount val="1"/>
                <c:lvl>
                  <c:pt idx="0">
                    <c:v>May</c:v>
                  </c:pt>
                </c:lvl>
                <c:lvl>
                  <c:pt idx="0">
                    <c:v>09-May</c:v>
                  </c:pt>
                </c:lvl>
                <c:lvl>
                  <c:pt idx="0">
                    <c:v>Low</c:v>
                  </c:pt>
                </c:lvl>
                <c:lvl>
                  <c:pt idx="0">
                    <c:v>Low</c:v>
                  </c:pt>
                </c:lvl>
                <c:lvl>
                  <c:pt idx="0">
                    <c:v>Esha</c:v>
                  </c:pt>
                </c:lvl>
                <c:lvl>
                  <c:pt idx="0">
                    <c:v>Returned</c:v>
                  </c:pt>
                </c:lvl>
                <c:lvl>
                  <c:pt idx="0">
                    <c:v>UPI</c:v>
                  </c:pt>
                </c:lvl>
                <c:lvl>
                  <c:pt idx="0">
                    <c:v>Mobile App</c:v>
                  </c:pt>
                </c:lvl>
                <c:lvl>
                  <c:pt idx="0">
                    <c:v>Electronics</c:v>
                  </c:pt>
                </c:lvl>
                <c:lvl>
                  <c:pt idx="0">
                    <c:v>Smartwatch</c:v>
                  </c:pt>
                </c:lvl>
                <c:lvl>
                  <c:pt idx="0">
                    <c:v>Delhi</c:v>
                  </c:pt>
                </c:lvl>
                <c:lvl>
                  <c:pt idx="0">
                    <c:v>Delhi</c:v>
                  </c:pt>
                </c:lvl>
                <c:lvl>
                  <c:pt idx="0">
                    <c:v>Amit Yadav</c:v>
                  </c:pt>
                </c:lvl>
              </c:multiLvlStrCache>
            </c:multiLvlStrRef>
          </c:cat>
          <c:val>
            <c:numRef>
              <c:f>PivotChart!$J$27:$J$40</c:f>
              <c:numCache>
                <c:formatCode>General</c:formatCode>
                <c:ptCount val="1"/>
                <c:pt idx="0">
                  <c:v>4920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C8-4834-8BEB-A38916A6E0A9}"/>
            </c:ext>
          </c:extLst>
        </c:ser>
        <c:ser>
          <c:idx val="2"/>
          <c:order val="2"/>
          <c:tx>
            <c:strRef>
              <c:f>PivotChart!$K$26</c:f>
              <c:strCache>
                <c:ptCount val="1"/>
                <c:pt idx="0">
                  <c:v>Sum of Discount_%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PivotChart!$H$27:$H$40</c:f>
              <c:multiLvlStrCache>
                <c:ptCount val="1"/>
                <c:lvl>
                  <c:pt idx="0">
                    <c:v>May</c:v>
                  </c:pt>
                </c:lvl>
                <c:lvl>
                  <c:pt idx="0">
                    <c:v>09-May</c:v>
                  </c:pt>
                </c:lvl>
                <c:lvl>
                  <c:pt idx="0">
                    <c:v>Low</c:v>
                  </c:pt>
                </c:lvl>
                <c:lvl>
                  <c:pt idx="0">
                    <c:v>Low</c:v>
                  </c:pt>
                </c:lvl>
                <c:lvl>
                  <c:pt idx="0">
                    <c:v>Esha</c:v>
                  </c:pt>
                </c:lvl>
                <c:lvl>
                  <c:pt idx="0">
                    <c:v>Returned</c:v>
                  </c:pt>
                </c:lvl>
                <c:lvl>
                  <c:pt idx="0">
                    <c:v>UPI</c:v>
                  </c:pt>
                </c:lvl>
                <c:lvl>
                  <c:pt idx="0">
                    <c:v>Mobile App</c:v>
                  </c:pt>
                </c:lvl>
                <c:lvl>
                  <c:pt idx="0">
                    <c:v>Electronics</c:v>
                  </c:pt>
                </c:lvl>
                <c:lvl>
                  <c:pt idx="0">
                    <c:v>Smartwatch</c:v>
                  </c:pt>
                </c:lvl>
                <c:lvl>
                  <c:pt idx="0">
                    <c:v>Delhi</c:v>
                  </c:pt>
                </c:lvl>
                <c:lvl>
                  <c:pt idx="0">
                    <c:v>Delhi</c:v>
                  </c:pt>
                </c:lvl>
                <c:lvl>
                  <c:pt idx="0">
                    <c:v>Amit Yadav</c:v>
                  </c:pt>
                </c:lvl>
              </c:multiLvlStrCache>
            </c:multiLvlStrRef>
          </c:cat>
          <c:val>
            <c:numRef>
              <c:f>PivotChart!$K$27:$K$40</c:f>
              <c:numCache>
                <c:formatCode>General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C8-4834-8BEB-A38916A6E0A9}"/>
            </c:ext>
          </c:extLst>
        </c:ser>
        <c:ser>
          <c:idx val="3"/>
          <c:order val="3"/>
          <c:tx>
            <c:strRef>
              <c:f>PivotChart!$L$26</c:f>
              <c:strCache>
                <c:ptCount val="1"/>
                <c:pt idx="0">
                  <c:v>Sum of Gross_Sales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PivotChart!$H$27:$H$40</c:f>
              <c:multiLvlStrCache>
                <c:ptCount val="1"/>
                <c:lvl>
                  <c:pt idx="0">
                    <c:v>May</c:v>
                  </c:pt>
                </c:lvl>
                <c:lvl>
                  <c:pt idx="0">
                    <c:v>09-May</c:v>
                  </c:pt>
                </c:lvl>
                <c:lvl>
                  <c:pt idx="0">
                    <c:v>Low</c:v>
                  </c:pt>
                </c:lvl>
                <c:lvl>
                  <c:pt idx="0">
                    <c:v>Low</c:v>
                  </c:pt>
                </c:lvl>
                <c:lvl>
                  <c:pt idx="0">
                    <c:v>Esha</c:v>
                  </c:pt>
                </c:lvl>
                <c:lvl>
                  <c:pt idx="0">
                    <c:v>Returned</c:v>
                  </c:pt>
                </c:lvl>
                <c:lvl>
                  <c:pt idx="0">
                    <c:v>UPI</c:v>
                  </c:pt>
                </c:lvl>
                <c:lvl>
                  <c:pt idx="0">
                    <c:v>Mobile App</c:v>
                  </c:pt>
                </c:lvl>
                <c:lvl>
                  <c:pt idx="0">
                    <c:v>Electronics</c:v>
                  </c:pt>
                </c:lvl>
                <c:lvl>
                  <c:pt idx="0">
                    <c:v>Smartwatch</c:v>
                  </c:pt>
                </c:lvl>
                <c:lvl>
                  <c:pt idx="0">
                    <c:v>Delhi</c:v>
                  </c:pt>
                </c:lvl>
                <c:lvl>
                  <c:pt idx="0">
                    <c:v>Delhi</c:v>
                  </c:pt>
                </c:lvl>
                <c:lvl>
                  <c:pt idx="0">
                    <c:v>Amit Yadav</c:v>
                  </c:pt>
                </c:lvl>
              </c:multiLvlStrCache>
            </c:multiLvlStrRef>
          </c:cat>
          <c:val>
            <c:numRef>
              <c:f>PivotChart!$L$27:$L$40</c:f>
              <c:numCache>
                <c:formatCode>General</c:formatCode>
                <c:ptCount val="1"/>
                <c:pt idx="0">
                  <c:v>19680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C8-4834-8BEB-A38916A6E0A9}"/>
            </c:ext>
          </c:extLst>
        </c:ser>
        <c:ser>
          <c:idx val="4"/>
          <c:order val="4"/>
          <c:tx>
            <c:strRef>
              <c:f>PivotChart!$M$26</c:f>
              <c:strCache>
                <c:ptCount val="1"/>
                <c:pt idx="0">
                  <c:v>Sum of Discount_Amount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PivotChart!$H$27:$H$40</c:f>
              <c:multiLvlStrCache>
                <c:ptCount val="1"/>
                <c:lvl>
                  <c:pt idx="0">
                    <c:v>May</c:v>
                  </c:pt>
                </c:lvl>
                <c:lvl>
                  <c:pt idx="0">
                    <c:v>09-May</c:v>
                  </c:pt>
                </c:lvl>
                <c:lvl>
                  <c:pt idx="0">
                    <c:v>Low</c:v>
                  </c:pt>
                </c:lvl>
                <c:lvl>
                  <c:pt idx="0">
                    <c:v>Low</c:v>
                  </c:pt>
                </c:lvl>
                <c:lvl>
                  <c:pt idx="0">
                    <c:v>Esha</c:v>
                  </c:pt>
                </c:lvl>
                <c:lvl>
                  <c:pt idx="0">
                    <c:v>Returned</c:v>
                  </c:pt>
                </c:lvl>
                <c:lvl>
                  <c:pt idx="0">
                    <c:v>UPI</c:v>
                  </c:pt>
                </c:lvl>
                <c:lvl>
                  <c:pt idx="0">
                    <c:v>Mobile App</c:v>
                  </c:pt>
                </c:lvl>
                <c:lvl>
                  <c:pt idx="0">
                    <c:v>Electronics</c:v>
                  </c:pt>
                </c:lvl>
                <c:lvl>
                  <c:pt idx="0">
                    <c:v>Smartwatch</c:v>
                  </c:pt>
                </c:lvl>
                <c:lvl>
                  <c:pt idx="0">
                    <c:v>Delhi</c:v>
                  </c:pt>
                </c:lvl>
                <c:lvl>
                  <c:pt idx="0">
                    <c:v>Delhi</c:v>
                  </c:pt>
                </c:lvl>
                <c:lvl>
                  <c:pt idx="0">
                    <c:v>Amit Yadav</c:v>
                  </c:pt>
                </c:lvl>
              </c:multiLvlStrCache>
            </c:multiLvlStrRef>
          </c:cat>
          <c:val>
            <c:numRef>
              <c:f>PivotChart!$M$27:$M$40</c:f>
              <c:numCache>
                <c:formatCode>General</c:formatCode>
                <c:ptCount val="1"/>
                <c:pt idx="0">
                  <c:v>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C8-4834-8BEB-A38916A6E0A9}"/>
            </c:ext>
          </c:extLst>
        </c:ser>
        <c:ser>
          <c:idx val="5"/>
          <c:order val="5"/>
          <c:tx>
            <c:strRef>
              <c:f>PivotChart!$N$26</c:f>
              <c:strCache>
                <c:ptCount val="1"/>
                <c:pt idx="0">
                  <c:v>Sum of Net_Sales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PivotChart!$H$27:$H$40</c:f>
              <c:multiLvlStrCache>
                <c:ptCount val="1"/>
                <c:lvl>
                  <c:pt idx="0">
                    <c:v>May</c:v>
                  </c:pt>
                </c:lvl>
                <c:lvl>
                  <c:pt idx="0">
                    <c:v>09-May</c:v>
                  </c:pt>
                </c:lvl>
                <c:lvl>
                  <c:pt idx="0">
                    <c:v>Low</c:v>
                  </c:pt>
                </c:lvl>
                <c:lvl>
                  <c:pt idx="0">
                    <c:v>Low</c:v>
                  </c:pt>
                </c:lvl>
                <c:lvl>
                  <c:pt idx="0">
                    <c:v>Esha</c:v>
                  </c:pt>
                </c:lvl>
                <c:lvl>
                  <c:pt idx="0">
                    <c:v>Returned</c:v>
                  </c:pt>
                </c:lvl>
                <c:lvl>
                  <c:pt idx="0">
                    <c:v>UPI</c:v>
                  </c:pt>
                </c:lvl>
                <c:lvl>
                  <c:pt idx="0">
                    <c:v>Mobile App</c:v>
                  </c:pt>
                </c:lvl>
                <c:lvl>
                  <c:pt idx="0">
                    <c:v>Electronics</c:v>
                  </c:pt>
                </c:lvl>
                <c:lvl>
                  <c:pt idx="0">
                    <c:v>Smartwatch</c:v>
                  </c:pt>
                </c:lvl>
                <c:lvl>
                  <c:pt idx="0">
                    <c:v>Delhi</c:v>
                  </c:pt>
                </c:lvl>
                <c:lvl>
                  <c:pt idx="0">
                    <c:v>Delhi</c:v>
                  </c:pt>
                </c:lvl>
                <c:lvl>
                  <c:pt idx="0">
                    <c:v>Amit Yadav</c:v>
                  </c:pt>
                </c:lvl>
              </c:multiLvlStrCache>
            </c:multiLvlStrRef>
          </c:cat>
          <c:val>
            <c:numRef>
              <c:f>PivotChart!$N$27:$N$40</c:f>
              <c:numCache>
                <c:formatCode>General</c:formatCode>
                <c:ptCount val="1"/>
                <c:pt idx="0">
                  <c:v>18696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C8-4834-8BEB-A38916A6E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56029871"/>
        <c:axId val="212460975"/>
      </c:barChart>
      <c:catAx>
        <c:axId val="6560298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60975"/>
        <c:crosses val="autoZero"/>
        <c:auto val="1"/>
        <c:lblAlgn val="ctr"/>
        <c:lblOffset val="100"/>
        <c:noMultiLvlLbl val="0"/>
      </c:catAx>
      <c:valAx>
        <c:axId val="2124609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02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  <cx:nf>_xlchart.v5.1</cx:nf>
      </cx:strDim>
      <cx:numDim type="colorVal">
        <cx:f>_xlchart.v5.4</cx:f>
        <cx:nf>_xlchart.v5.3</cx:nf>
      </cx:numDim>
    </cx:data>
  </cx:chartData>
  <cx:chart>
    <cx:title pos="t" align="ctr" overlay="0"/>
    <cx:plotArea>
      <cx:plotAreaRegion>
        <cx:series layoutId="regionMap" uniqueId="{00000000-5CC0-43D4-AA7A-370224C78384}">
          <cx:tx>
            <cx:txData>
              <cx:f>_xlchart.v5.3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1Hxpc51I0u5f6fDni5taqGViej7AOUKrJe92fyFkSw0FxVYLFPz6N2W7eyzGywwx98Z7bUc4JA5J
klnPk1mZWefvH8PfPur7W/NLaHVn//Yx/Pakcm7426+/2o/VfXtrn7bqo+lt/4d7+rFvf+3/+EN9
vP/1ztzOqit/xTGiv36sbo27D0/+8XeQVt73l/3HW6f67rm/N8uLe+u1sz+49s1Lv9zetao7KOuM
+ujQb09eOwda3pjbu3tbPfnlvnPKLa+W4f63J48++uSXX7cC/+Xhv2jQz/k7uBezpxKThCEUf/6D
nvyi+678clnETxPGSIIFkZ/+kD8f/ey2hdv/ba0+6XR7d2furYV3+/T/v9z+6EXg6s2TXz72vnMP
VizBoL89Oevu1O2TX5Tts88Xsv7hLc6efXrtXx/b/x9/3/wCDLH5zVcu2lrtZ5f+xUOHe12pP83z
X/CMeMooITJm7Fue4fwpQgnlIkGfPcP+fPRnz/xUm2975MttG08cLv+/8sSL2/rWuuq2+9Mk/wVv
sKeJoIAFhD97Az/CCSdPBZXgK/nFG8mfj/7sjX9Lo2975KtbN155cf6/2ivfhu7XxPXoE/8pceGn
D7TE0BdikuKxQ+RTwggRMSWf/cUfO+QLkXxfm28748ttjxT/381KqYLo9Oe7/xdwkDxlXALpJF/s
uokXcDmWjFEJ+Phs3M8A+Kka37b3l9s2Cz998b964T/SFkL31e1dtdz+X4jd5GlCBOJJIr4ZIcRT
LIQEFHzhpE3s/vfV+rZvtvc/em146//H0fv7kf2v/Odw626PnxKnr4L7j69+enXI6Ta3/ij/+rzs
z+4guaKJBKP/lZA9CHmEius7ZSvIZ/7llnuIX789EfwpheBPqWAxJGCC0ie/zPefrqCnNIa/CYqp
BJJj8skvXW9cBQ/FTxNYElIyHlMUowQSA9v7h0uIPxUIIwb3IAm5RSL/yllver2UffeXMb78/Evn
25tedc7+9oQzwPrw+XMPb8cpE4lAgrCYCEJjCI1w/ePtC0iM4ePo/6iJjYL2bj0ZdD9GWd8muktN
iOKripvqaLiVJ35AxVG2SdUesW6LS8Q6fVLoMF40dY2ORYjb4jARJYe0GEqfYuy4T0Uxc5PjLjFX
AamKp7J34Vg6J1DWqdmcd3IZ360q0QePe32miK5O26Y2p76d3HGyvjodx7K7VpRTl46lm+QhIdSb
rG3wVKX9Qv2cYmpMd4aFphcqqEKmfqD2WHgSXc21acY0bowq01aG6L6w3rSpmJH8oKQRWRzP4qpP
anXeexlXadus/aVICHtrY4HDEcWV7dJm4HGfGmUme8DEl4ep7uo3tdPv5zVWV8qoV4VZ1ywp2+ks
qZm5ZWytLigeqxeFcewlW6m+ilWN8zBF9hhzVaVq6aqzaYmilE7xmYuMPgHfrkcJpjuisq6yaDRF
GnfV/MJ02GWNFFeiD/oCl05lpW3ucDkkqWe9elGIpD7r0KCPCZ+W38Pas8sqWeM1XeOo05lizaTT
WhBy3vSqXjMbk1Wl1g9VSHudiIvIlWpIwWhUpVojNKZDmOs2bSsuXqNyjW/YYsMLOWktz0SnsE3j
uhyvGxIWk4oW29ueV/N4Nk+9v2BliU0a93Nx3Yu2R2k7imlKW1Pz4WIekCZZswwVTSNOvU7XoZQ3
dioxyZjjVJx0C+3ObbB1Vgy6xWlciFEdSt8qdcKoJQc8N/WzUlr8TE1R/Xs0eXxS2LnLuzrqH15p
0i/GUorXg7PJMXEiXDa2na4d4hpcKSe7pDSIxKV4NtNLgfqqTltF8FufzOxNPyAzZ8Ns0HOZSHbN
MJ3aQ2KK/tQnXJ+2ks5DNvtpeetiXH4YE1U/t6oiRxJV5Xis1bKUlzO80nTiNeqPyaJNkXWMqRcV
9+LU8SY+ZU0ZTtqkbXVWNFN/Og68v9JYu5NyeomN8lkyTyc8qt708xiyvlmmZ96BjZHl9fvAR3+T
9GbKElqNqTDdtQvoGVkWdGh8WJ83oyZX9RiBySLTZwa145XUCWlznSQOUL2EKp+NUXO6dJGr08Fg
sx69rM2aRUNIDjSK53teF+8d0eayHkl3NY8ynJXDXNdpvfLx1NuWXvZL6M+71QqbCoyK69rayKTd
VHQXXkWmOMEzUjwzseLPO6XtG9SYymWh0vzKSmTeBUy79oDM4JqUi55dJEPhw9kssPVn3VgydYwn
IpbfaQxOemnFOB9s0vV3Ws49KzM0MjZcClj70qRo9Aq9jcoqhLOq5glK63IS47EntIk/ElYU8rLr
x6Y+JAtR4Iq+kensuWjPVQTisxhNy+tKxOiQeNe+RTjQ9rzq1ZiruGnqbHWJr0+UB5pOgaLj5sgT
r98qFebcSxMlGZD9Gz/K+RIRZ59Fc9y91gZSgKzEjDep0CG+47zmuQ2FvjK4b06mKipOJlcXLO2W
lVz3KCwfOlug99oEnXHjktMAKAKGHcoTUbvh1awwspmO12QJmaZjf1dOrn++Ulbc15FdThvu1zsz
h+nY4RgEo0Kh8qjJSkMeSpLYVypCVGSUW1FmrupFeLHYkU9Hbm1gJ3yEj56VNUEH15liPqq60+y0
wKEpDq2fW33VtXzAZ60nvj0mWM0+RU25vqo9xW1KKupISimj1cEKaliOk66cMmFlcxWSPoLwUpKT
AVVTl64e0RQPRZ8vsl+zWPbgSl1ea9vqSyNMmUU0hJBGtFxTAoEnbWc7nHtWrzb1ks35EkJ7VTZm
fp2osbx0vWRVulI8/O4NvE5mGoBEaucwJAfuR3JRRpFYT0beEpm1euD1aVN2c5sVql0+xnSsl3Rq
FvmhGiPUpkOt5i4deLWSdBnjTuaMrwQf43ZZloyqhC5pU/X6heXc4mOra15dFIxU6sC8LyVEsL5T
17yPzcXcVnN/Vq8DPZsHTOcrTfv5FGo8gAIbtRf9otXpXEgh06gOIat7oMl4rtwLHrw7sdrEt6Nb
X9CJC5IWTeFfxqGhXVpGNooPrjZ8ytpu4jbFa8NuTbnE+tAMgb01PvEyo2yoy9PGrVN19CNbWWqr
WK/A2bXL4mVe7ksk49cJcvNLJ0vXHPppcS8ZieXFCBhOQ4TpC2RH+jaysr0AwqbnNon6NKlNeZjn
5WqVmobMs2pORdJcrnI9xw4Am1qk17tW97SGgEOXBVS0LHmmqtZGWQuuLNNxbM1yYs0cdTnVlPwB
idPiT4ZItMtzUsbV66Qi04P0WFw0qGVlrkhPXtehBr7jMXPD+dhLZ46mHd11xL0u0mjC8u2gZXuK
upr2aUPjkZwmEZqKrIiKIhxYBfla2ramSQ62seBoReu6vbZhqtxRTFa/H4smvjZ15Ja0JZ5NmZmW
DnIIGYZDzLV/P7Zde+3xGh36slhJVpaJfWlXGt0KAbvhLPGWq6MvSyCauK1oVmk8jhnWtL2Gtx7P
iyqK7Skb4jlkTeXtvdVVTA5tOZciLYSk/LRfXCdS4wmvMhGNymZVXAFhsxVFNqtdO1/xEA9r1neO
zWmZoOEOCZw0Ge+m/txWIxkyOo8fYVOiT4dx5R89nVaViVCIKHM4SmwGkWk9Dv1YQ+ZQx+X7pCjN
ZRLX09tI6bVL48XWVxPqX4t5THCqrSrRkXOeXLTG1se6nWp/qNruLqa4gFBWmHdr1/dnZmzA55Nn
/lloBqnSKm5dWvRNAE6p+zrVTDTLSdf48aZW6wqQL1yEUk3qyqT1OPr3yjfGp2UsETopEzy/W6oW
67RpUF0eI0HLi4iK8rUPrLqHyi4BSE+z7o+971eUqbWDpRfKdjyszgwjsLK3OB0tZRlHhMlDges2
m7wv3kyj6dKRVCY3zOF0GPWQRe2yHtelyiEhPW3ihtnU1HV3Qhc2ZCJemUub4PpzIuY+nduOHmPL
gQJV29i3s5LNkZYuZBD3gU8aWJXnpSDFqSv1cNlP5fxqLMScaVe0B4JoeC9HpnVmTTx+KE0rVLZW
FfkY2j6bi+lYNP36virY/aQKk0YsLk9tgSeUioWtZUoXkaTS96zPi6Jd4rRR1ZovS4WXY+RM/A5R
iEZvq7GP2nQNJLkhExNnq7K1ORKj9XhaukGjdJYej0C0XfNhKJMwZisQxGGmvW9TJqpoylgvh1MD
4SJzEAPOgtLDi16q+U3hwpgms8ZzbmvIMqOqu5gwr6J0dHW1nEa2FSE1XUfatMNyfiUa3Zk0GUFp
wpv2A0eQJGDV0OTQTk10b2jUQtaJGcgOwjwHBopx5mMyjLAIensTD7O8pDEqowPmRN40dWdexogl
TV6wRg/pvHTj70xx1aR2qDt0gARteS9EGD76kgM6uOtGeQHAg8RQdVV/K5m3rxI0kUtPCb5pA7Kv
BRHNcCSD7yHYlWyBOFsuSTapSOYU9+EUVs9cnbRV7O+oW6Q67VclLxjhbQlUy4curc0sJDAu6aZD
bV2U4hhXp1q3tEwjy8t3mGOWLbBUxlR7DQ50PXEug5QN3Uph/Tlic3k147bX6SIeUrDJlZAPtCs2
kByQgqSQE9p0lYu9XApm1nScliFKV1zEMq862t4DSdS39TzzKy3imhyWMHZHsFncZ5NQIZscqppD
UF1RHFDRv7Gsni4ArDRTao6yaSDoHBEVUkEamlaJn4/Aqt2h4hFGB8VlQVPEalJl5bqUr+tSy7tS
DgBtU7HmQ/BJfWmGROKUKxHadLIGfSBeDYcQV2WmogafDAvsG2faDccehwtTLE06rk19lKTS16Re
u5uesxpnU1SyTFoNxDL09dlsrMkSIMlbqWOe9sInv6umWj8EPbY6HcRSXi2yqz8MuO8Oa9DlS9+i
5h0u2vilmkvY/3GIIc+mYSjmHKPOuoxx7JoMgBXjExcnXeaUMRcYYHEM7exEGkens4CkoOteLmTV
OK3gvZ9LjkTW04FMB88lv1jKTreZD06/sRWpTsMKycXBML1WmelsdcfIAMliX4jjmPA27wxZy5Ok
7aqL0kl/w1BRnWlwwCuZTPol8MV4WRJ4DciMUAOpS7WkboaAu6zL9ArP0TkDhxaw/XrPa2DbIGn5
cuzX11+VP75RU4DaxOOKgoT4CrlvTDjlUtL4cUVhSJKZ69au+SgGArGf0ykNPYsuzEKaNdWy6O5+
/ESoA2+eyCSRCWcyjiVnD4WUr2sYgoAryeDWvDGofj7Mq3tGK4YOa4f4uVo1z1EXqsOPHwq16c1D
eUwI4UIK8DciUCT6+qFYoX4teBPyuSr1JeQ17qYs5v5A4rp6NazGn8AmkJ3ZeR7vPz35S/Hri4U/
V3E+9sMC1YnqS/Pxrx//8apv4d+nVtg/f/nQu/znT1d/Nj1/+Kn8vn+o7trthx60+UsWKPNFu4fy
16Mf/qUW951q2+ce6ncuPirFPSrMf11XQ+iHhbhH7YCH4tanz3+uwkmowiHESQL1IQbF74cl8rkK
x8RTJKH/JuJEQk0nJlAg+1KFI/xpzDmDDT70hB4qbVC6+1KFY085VOCgnMcxp4hJKJX/+WqP/AdV
xy8/f12FAzlfLSWgQChgPZT7oOH09RKyRYCsR0l2WqGDTK7tBM2ivwqR/4Hch+d9VdOTGKp6Vgd+
dEmlYQu0LsvbCrPwuQP7uQH7H4jfrPyaR80yh44fKzMa82Jma1y+KqHo9MeP1X9MJP80y6YkKdu1
Eb4p2FHixK7PB9TKOK1IDTt5qKdCOYiS0RUnP37Y93zwUB/9ylYWfF/PZceOwUKFNBUxKQ1UFpn4
/cfyH3PUP19mw4ZcjvFQy4UdPRroFUIzbV/OcR2zy0W4LuQRX5lJ22UcoGGyw/liQ4aDiIeJPzxw
0pKH877yhc8oFFPV8ccPeBD0z8rxX28kHojxK4sJtc6x8yQ5zo3l8zlbSIGzobG4ukyaqsZXyDe+
yUY7dgtPY03ReAJlzMmc/vj56MF031LgwdRfKTDw1jaJXZKHTdQ0ZgKLnBP0x9CQcYakoJynNvUL
jy77uUTNEYrLvejSqBS4hR75Hhs/rNyvNNDl0k46mcEEsKnKiOn/4MmsfvJ+31mRYsMKPSAVkgeX
HCFr4+/ifunTYvL19T7VN9ygRa2YJSY5NkSp+ximZi67SDU+2yd+ww19NCfDWCXJUTs+vUHzSNNQ
rHwf84gNMxg918OAx+To+mhdj3GIJnNgQ9/znepv2ACHEolF18AGPfV1tjAWKBQjAEqHH9vnO9zG
NuBp5TQnNeww8lbbsXjB23b0b8i4yvjcRZXkz6HDQ9jZjx/2vZW04R5cL1HX2yHKu37h7MZCI8u9
aZ2L/tgln2+oxorYQ5EiEfnao/a4lBSqvkE1kHD/WP7Div8G0PnGWLJvqPZ4KfIe6nTtCZTjh+mo
5wWpw6gqKnc+ZsMnhEKGPQ8Rz53z2J12rO/iI+SOOhwH5eawD9d8QxpjP40FCa3IB9ysrxqzVNcd
pLSv9tlqwxpzEwSaIcfJcRTUUVvDyWVJl3582ySiCT8x1XdWFH/4/VfEV4lyaAQfRG40Xc6ido2v
ZYmMTn/8Et8TTx6L7wu1xGAclns+4gAdpkDfs7UffhK5vid+Qx9+4j0XMKuVTxo84HTZHqmP+LBT
+w15eEW6RS+1yKmdGvDBIkKU2nhR684HbPDcyCiB9gtYX0IvpzsbUNLNR+iprfPNLvtvN1IcL8Si
KLBc2kq94cLam6DKcdmnP9sAjS8GRuXihOcDoQ46LysJMq2ado73QYxtIBbUMkKVzvC8sSWU1m2L
J5FCL8L8LDY/MM83GIltULaUdRm3M7h4LJbBHOqScH7TRuvEzkvYfzfHUOKle6dbQX73XTl3P2Hy
7+U8bAM8HcqC9+sMVKiFHs6ryBYcMvtGQlon3FxDg7xz9TplqmJDe9KEteQHRmfSv5xix/xOA28A
CuWjiIsmKvKWR/5A1MxzwTX5yfpAD0j5lnnxY/wnkwtqxKPMSbya/riiAgYBkmJdoUgtCV+uS9v2
fwwRndtTuooueRYIwd0V5kLU70SDk+QnqnyHKj6NTXxFdKKrk6GfFc0HXlhoS6/yfghhHvfxKNsg
WRvC0BKgAWiiYc5LB0XYtCSivNuFY5gReUTTHhkm6rqkeTkE8T6B6PbMxlG7j0aTB3B8ZZuRlNBl
j7jMEw07mcwj0a6pV2axP1ll30FZsuEJq8YlwcGI3C1zgc+gc2jiD2FAgLgKVzCL0Sk/tNA2YkP5
cWhXi/e5JdnwB5k7DYsI+pRMFK2Haj+2bbp4Gu1k8GTDHytdm9Ezw6HnlqAjW6bysLI+Ouxz+4Yk
WCHjrh7DmltfunzteJ0yM9Q/4aDvQCLZYJ/BMEwUIFXNa6zaDDtUH4qlxzsX1Qb6sOvpBVL9mmPY
N6Zxhd52Jf1ZIvk91TeRGbGho1DZXfOSL+7KL10M4XmsUL1z3WzgXNXeDcQsax4VrTzDU2gOBRE0
3+VWukEzGaYEBiNAuiswzWYCTV3bIrVPd7pBs+jwKiYObo0crrKG+CllDaf7eJRuoFzHkYnn4qEY
jJQ+sbIrsymh68mPLfMAm2/EC7rBa1ck1Qotzzmfo+Qetp3NdEJdM3S5mznb+QYbyJKJT13dQO0f
ur3mhXR9fUS0b/Ztxx+mA7/mUtdBKjSvMLzQw+D6mZCJP9RLt5Nu6AayyLW6EGvt89I+jMfpll8N
Qe9UfYNYCNQFNFyJy8e+LlBmEmwzXoXmZ4X274CWbkAL7WbbRCuUeYZOhfPGle7SF4XeCaoNZKE+
Gk3I1+7E+HK2L8kcC32dGAEjIz9em99Rn2xQ2yA1jeUEQ4Sh9GvWDMn7RS7dTxb+94RvQJvUUUOF
gO7vqCuUEuuhfS2l36n6BrRkqKFjX4sJLB+9Nxjyu06G4rDPLhvMNtAaiSLLvqgOQ5I4TSa2V/Ut
WhNReFGh6ShnKBrjB+l2v2Ee3PFV5tPE01BoC9JDLavMi8anjOF6p9k3aK1oIvoYxyCd4vtRUZgI
VeXOyhbZoLWBs3NClSBcrh4mADkMylUNC/tyg4cmyteGCY7wQi/NBKOWxZwGNOEUDYXbF6LIBqtt
NeCuJ7E/dhPMncyVuvf1ivZZHW9walfjhr6a/bFtYCCV0eR9NME0yK7Fjjc4jYvEkKWK3JHDwNjB
BnVrPYyr7RO+geloZaghE/bHmskqZTVMZXmD+U7pG5xyUkclzDGA6tKjKxjGJTcFL/W+FhXe4DTA
fGAH3WOfrwhObqZrJ1hyiFwk7L41gzdQxWOQrR/KKV9oC7MkERmSfJix+7jP9husIlVg04cWImth
9bmsLYKBsXo57pOOH8PJm2IgMEjicyfJ76jGzy0lz/eJ3iLVLjXMK0YuV1X0DOjx/YL5zvId3uBU
KtVy1HGX13MlDr5KXvVN0e9zKNrgtGtgplgK7/NIwfw7DFdecjzG+xY72uAU2sLzYIOIjp0Od2pB
b3HSXuwyONqgVMAMSQTxeslBrHUwdWMrli6WlPuoF21wOpWJrxpqXA5HTON31AEPpFataF+mgTZA
9aPGsS56n7e9WQ994B8qNRQ7zb4BaSHUyCdlfJ4sZoGBuAFUb37WeX0Q8o3NwcPwwNcxSXaMqiFq
XQ5nbuSVsCW60lExvN3n1g1EscPOwLlvWI5VUaWknd9xoXa6dIPRlfayLqrG5yaZSIpEeK9HcbNP
7w1G6UzDrAjIjmr7ivrlKqH2apfoeINQOO1RlI6U7hgXUZRFdXGp1nhnfSDeIBShYeBrhKMjnF28
bhf+XphF76OWeANROLIxAZuDTXTVPe/L/qRoq31MHm/QSYd5IQFq6sd+nU7NjC9osi+CxhtgDkvi
WD/A3o615SUcDILxsGJfmzXewFJpFyrvQemhfb1OPqv5m30rZANJDUdLhrUBJ9Kq+WCCfC5Wto+n
4g0e/Tg1YZmZy2EqGb1aF4fz2hN72Kf4BpGkK0JXK+lyG8EoAe6aU1nId/tkbxDZaGUTjuLomMBg
chrF7JZKsi+wwfH2xyQIC3scYe7R5ZViIU0sjQ5SwtmAParDKcbH0oWduKPJFB1H9tL0BwFV7H2C
N4isymqkY7W43AsY5piJHeBYD3u1T/gGkzP035elK+wRVcPpDAfaDiOp3a6VQrczXcb7uIk0CBca
Rqn98FFROCC3T/ENLiVNlngU0sKhBnKTgOzgp72yN9BEs+KEBARlY0ziSy/K+nykge20ygadlaWT
hnwWFkoCR03WuH6tWbUrwYJjsY8XYZCezo0E5AeyuBrOXhWsP2DIgNQuaqFyA9BhbmkBvRqXl3S4
jebpLTQfXu/y6HZYayIkNoyAXeCAUHIYfaNSIjDflUdAQeixZUw1cahHB1A8hBvfx+dhggNQ+zTf
ILRueUx5RWwuGnKlYeDwKDjH+ywuNgj1pYGZSz+5PB70cxrprDbVriSFbqerTBJ1S0lam2MMh3Hm
FpkM0fqPfUbZAHSBjoIVrbMwYMDelzacK5683Cd6g89gXNEIHJl8QXpOdc/Hk66t901G0O1gVZ/M
nZxgfCeHFtJ66Nb+GSdwRHaf6huA+gHbpkKzyXsYf4EDeN5EF9EULy/2id/Ac44IsCL14NFpubOQ
wQUrPuwSvR1wchB4qoH1Nm9Y+SIMw1nctvvW4Xa2aSpEw2pNTb5OY3Wc5hIfIt193Kf3BpxqpYU1
obG5rIasocuzVvws7XxIL/91V0W3U0xzBPXgaYCD/VU7JT41cObiamRDSOca+yXbp/8mt02aLnRN
n5hcK/K7ruCM4dC82id6A9EAE4+a8QK+mABP9vThoEmKJrqvVUf5BqUlrhJlCAbFKXrbTlGX0mh4
s09z/JjNqzAOjYEvJMjhnC2djyvxC007oeFkzr4HbHBKq7IUXmhYkiF6rlr8So379uKUbzCqVTLC
hhlEF4t87mJ1XRC2qw316Vs0vt7ma7HAuZdpMTkpWpxHArvnqJzVrklf+LaMx0bHfIqTScFKLOJ1
SRcz5oTuHBij23moNhSRCxbOFnbTEKfxxE9GOHC0j3W3s1DOUO+pBJMDPV5MC77QSdiHoe0UlJxL
7euxNDkvSjgetS4X0sBXWuxahdtJJwmrJA64MTnqpxuCxksTu516b9BpFHQn2ByNuWXirULmuW7G
XZs4yjbgLOArAppyqE3OwDKphCH0dFxasY8Pt9NIjsDXONS9HKFvU42Zwc1zH8l9Keh2FCmOYZ/V
JfGYl4q0dTpDoeLo44jtM8x2FKmuJUyl1QvgRi7t/3B2bkty4kzXviIiQBICnQJV1dU7t93enxC2
x5ZAAsROAq7+XzVHY76Z139wOuGhKSGlUqmVz8rTmfN3pgq3Y190L0VydcxLaO36yyYGkkcje8ZO
euz2nO1lSHPQpl28dJguHbrcNGLtqkeVpcLpQzUc3PD/Hl0gzw2FXFqMvVQ+yVsUz9Cly/pj9whs
Lzda9TynQ1PaSxqMus+dt82vWST+4KExZr+/f9SQkHkR2Mug1hEd6rzOMELx+VAk2AuOkmRZ0tCF
9jIbTvKQQ1dOcfo9Fmfi3YqdDBR4I23tZWSJnLJoI/qbXpdWHnz+bjddqoEDvYGxAVqmy6qp+bCY
6NieF++3U9L5BkwDjHub2rt1DMcz2tvV3aFx3+uNHHV0tcbbS13G26ewK+UdGJZoRT32+N2WShEn
Y7Lis4q27MczcDiUZXHZ8f7gH9hlv7iM011rHUaejv46DOkH1ZtjtXmwS36f8uhGJ9AYD/YCJtVr
Jce3Xk+vxwZml/XKcvXUGNlfklZ8bTsfZYqxP2lrb0vyX/L2vdCoR8k8DebGXuhQp1/Ribzczbpx
B6fMbmedwmABtCbuLlipIuOQvmTBGiSnYwOzW6rDGuCO3uDpsVvnDDCLe93+ScX0dwr6bwOzW6d9
tUBel5Lu4sBjKjPcFqOJHIiuReeyEVLfNXb16AkfzZWONOCXSak+fo8Wt6R/Qf1vHF5F0vA7jXvJ
7q7WLeNZYioU4yV4PaEHgabuhw++J8GMPv++1d86pYI+50gsSRHFqLWfEjsvc2EiVMlyjlvq5Tr3
QVpfSLIodi272q95BHxS/DmAsnc9R7Qek4ImC57pTQV8m+yFApPLkG0+N4QsWzG6hrZfl4Sx8mVi
PKi/j1Hc95d0I8JdhgW/t0DTdHyqQwc0UYsmZ53zNZHznYw6KR55CgZHHvYbeSUp2sgd4cPVVuOw
XcJOpOsZACDHCjcwNL67xDOUsI1yLAfIoumQzwqx5ulQ0SRrumqIHnxb1uJqaDSxy4bR9nlMtbtu
W9A8D60LWcFC57asLodyezVR3SXHspB9T3qzsJnrmXYXHitgMxpgFiQVx+LNXulFWbkikTT2onjz
s2T6tUyqY+9Nd7HS4SZmMQTvHc/lZRTmvoyjY8VBuouSsYMyJUIF6UKEWLIyEDoTQJUdHJNdmBxC
SbnGpd1FEpCaFt3/4vVwLOmjuzhZo73VtUnYXeZ1ts9o0AJWg07NsVBGdzmN4lU4t4SPFzlo9siQ
v0L5P09fDoWyPTVgaKRzzrruolM5fxzSfkMxv02ng8O+i5QgMwFntonuIlBUzmJSP6oNMJBj776L
lCGWcMxSC0BXZ8Gm6UJfX5Y+rA6ecvYyr6itoi2gmJFcNvFyImM7b1kSxLovDv2AvdRranpfBmrq
Lrio+uUtu4+D8VhHB9srvewMjmC/Jt1FhQI6smlMQG2joia/jr37brm6uN8oKIf2YnqxpVnS9RR3
7Ckhx7QYjOxWrLeticJFIkEALz+bE1+fqqo6mCDs9V428WW9SWzhuKMZcijKeG7BxbscG5zdmvUh
WqXjqu3Q6GrMPacOYEfeD/yYvp+RXXoz1q2EkKlDGG7n5F61NPyKM+16rBRMdos2WZp+a0bkqyhl
LdeSlfMlCafk4KTfrVpCzSyq2+5UV43MR9/LDFTD5ljA2Uu+oiFa5gXn5EuwtvSngtr859bMzTHl
J9uLvmJC21rV2l5inrjgqkUb5WHpffyHu8P/6Ktje+EX2k3Lkpu0vWwmosN7qysHRE7SElv4sQve
o+HsOQiEqQtkcVrkUuAwelZBHHfHvv5eH4Y+XR7ONfJPv/YqBVysBoCiUa0150OLYy8Q40C94sxy
i0zlFJUPTSXRd7b26xQe2xf2ErEtnAd0vJL2Aop1pTNwYz3Las3cwQQr2i1vPm4NELj4A+sMrKza
5k9Q7/84Njq7pW2mZgVLaWsvFsilHFTMX8B7Hn3x3cqW/RaNowa6Cbnt2RB9T8h4rATwdwvlP6To
TRCE0oMgcpmYG3MdgP2IRpJ3xwZlV1+YlBlk5F17KechPc2KgJ8Mpuax+bLXifkENiEtvuilAmf6
e1N7+mMIsN0ceve9UGysWduxNmouyLWeE7c9mF7+geVym2//clTc68TkgntGPnQtsK1E3UdmSDNY
nvhjm9heKuY1r1KngeelOu0kaM1pfw9YcKsODvsubWZi6Shvw+aSxG2d9yK90yxaj+0De8nYYFsp
S1G1F8GUfxyHhoGgV7u3//ub3l7x3wZ+t0iFB/rYR9jfzcZ6pPzhKMXJhFHXnThOde2hHAtEsd9r
O6B/lKWdBnPZhuQ7DupPTaI+/e9f8O9Th95QUv+8pQLjG1eDaMdCh2BX1mBNzu6np/0x9AAVuwEC
jrttVdmai7BpierOmF4bHs+HlhS9+UL88+U7UoMnPeDlS6lwxo+IzYCUOBYO6F6/I/iWrPGIYkfk
p2gt2gqXv3ndtrU7dtLdSwPBwSxTTmV3CWc62Qzfob5FTBCGiyMfF1jJ38enCaqxd6JCyInJ6zyF
7yR4+ccevYvEYIZMaTjg3VE0jYtqwA0NQMntoVULF5bfX7xFjAk0xJ6nKBnKd6DR29dWxcea1ABL
+/3ppmqjOSSjuW2t6Vvb0PgyVXF6aNCp2B2ILIpGYdncprxCsanr07cgQ1cHB2Z3GJrB113ntTIQ
foDMBZ6p7b9sRnTu4PN3nzV1vrTIbM0lUnwtUhmGLx36+d4dmTS4E/l94FdeocLl+6CQkQSZvQ6j
8JkQG89/WFB/V1r+bzyme2EZBwB14XxGNONzDGxxFLXzXaVdP5xxEAOLHyw9PhZ9bJbuMVhxKngE
XbtvvoCjyM4zJ9s1YcEKMO0GowYUHQOt3zRtvJC86fsVhFupyu17V67VfG4t9twciNDlB20Ye3C2
nu7XSrkzLeH/IDYwMFQGMDzb3qsI/S1v9Y1T8b6tUjsWOLAxYK0b8PxVCOXnc21VsBX412P1REnZ
uR/HBn03H6Fr7MmtIfkky6h+dkKLR1IBB3tsxuwlcV2g4w7VUX0hS/iTk/6tiOTLsTffbXs4a65N
wL2+0A06W0PYlXTjn0AatxXzb1Nlt/HNc9DIbVz0pbdgdVyHcTO+AIpWDWAHOyGvXHCjvhz7Jbtt
MOpFzJkD5DewAT8x7c15s0Z+OPZ08vuyUms544xI9cV1oDkH5fZpqsmfxuk22P82Trs9JArl31Br
feFmrl6hqmZvUiWXb0sdBX+obP7Xn9gFnbAUiSS216dxoZoXauqHvsrcgGL7tfLoaPvDofo/Pvle
NQd5gpwdN/IEh0Ktz3O8gB5dB+ZUNVtKcii6j1WVwGL9/YtIhdpJORgMWksCCN34JwSigzlVslvQ
AYAjKAS0+hLhOm6i/jzR6A8B+j++xF5El1BoOYGlFYWWfTJdhRnjc5cK3Ptz6Ux4SF1Ak9tf/8cR
McazeVUlATAdAAmi111+Fn1yrLUVrN/fnz6uoq+qdagvSRJPZ2iuAadX0bHDCt0L6VyFUiSdI3Wp
WMrO1q1NkYrq0DmOJruFHHIgkE1iwLJ21X0IQDbr+MEx3y3jlYZm7CY8etvYqRT9uanI5VD42Wvo
QHPvKhhnlIWuyEMSBw89P1bFA+H+928JWeENhFuVha19fw/7lukSxPT10HvvJXRlnCi30gCTPZLj
ydqBZSusIc7Hnr5bpaHQQxmHQXVJqtE+QPX6qZfrMTgs3WvoJE8k8PxzdTErMedZTO1d2JtjUlS6
l9EF64L7lGaoLlVd94VV6WOQDOPp2LjsludSh/080k4UU8Oq5UyI/2BhgHKsqAibxt9njIK3Rm9Y
K4rW9c/adJd66I5t4nsp3QrfHtlIJFJmmqusndsw30z8h8h7+/n/ss3ulXQO6vwNHX5YRKPrwMQf
cstBFD425rsNdgOkZ3STrdC11AD+LmGekZVDK44J0m7Wb78FdAH7BpboWKDRqtsIbITK4aFbdHWs
D5Lu1XQzb8sWnj+iaPyGO9u3UAH8YWT+LtX+y7jvtXQMziSAU0l1idaAuoewamI0GEmwPN+DlNRd
qljAbSXpXROfOKprPu8nHTsQMi1fzz3c2frTZiNJvjVJTNylTGmVHKrAU7bbJ42Y6EbTeDxVyTKc
43ICUzjQx+7V6F54Qz2BA4CexhOF6Q9UFtN7tFQufxjX/5jOewHhEvQRkCHT7aQ3TBIWemE6nxSs
a9ri0JTeKwjbqpp4GqmkWODUgNi61nObK3hR02PHpr2EcJj0vLnSzqe5U/bUpMwXVrBDRXK6VxAi
24yppQ0M9W7IMh/3aDJnySFpOKx7fl+NNnFsLCc83M3ATpuR9fCdgy/esYHfJRJMwdiqmtv5ROrI
5hTONhnqe9+PPXwXqDqdwviHljBZJAp+iEGA3rOFhce25L1+UEImG7KATqcOoqCs04N8NgmdPh56
9z2vDMZ7lka8n06BwIUN05s8VWt8bGD2uLJq8FGHO+TpBLwmeWmbRX/n4ZYcy+D22sEtVr6fZjee
2pbDlFHPgNmw8hiwhe5hXzNcmErw7cbTmkRbBl+iIU/0wVyF7SZ7rGce0B6vvjXAtfhp/RUO6lgv
Id2TvoLNNn1p6HyS6J4phFcqR1A7dnkPk9Pf1+mGNoiyckisEku+jw19bRQ51l5N99Iv1aD22Fk2
n6pwCLPFkvJUlpDR/e+p/h/HxL36y0S6J7qj6ZmXJnYvCv6XzXnlxAxnNljsgv/7z/zHJrJXgpWO
liyq8SPg1R0UjsQyb5f5mBKM0luV4B+nUKvKZJo4ni5lWxUpZGC56Na/jr36buvWNdYU9IzDyS52
zaumr4uxKY/tHnslmLAsnJo4Hk5Ozw4mTinJADDejm0feyXY2uC4sQ1+OE1qM+do1B+2qI4PftLd
ct1Uw7YOtZ6TTVUCb8OlziFJPSb7x63+75+0TdZkStLSnoImGHK4GLYZtesxchM6oH9/esmYgY0P
t6dq6lW+xbBHTUGuP5bQ7DVgc7Si5DzI9AzHtu39FtrlYw0vxz+s2P9YSnsVWEm9j2aIlU/xEKEf
5bZrWxL9qUb4X0/fnXXhcINy9SrEmQUonbvgR2fa94cW0l79peHnVMI/IzmD81WazG1QJ05qGT8f
e/xunUamo90WDuIc26aFALeGM98jj0ybHlure9yXHdMZqbAVZzHC71WQexMeTGf24i+AuPppJXh0
A1/p7aaHaI8JEule+QV/hqpUSS/O2w19pH3EcqZSnx0b9N0yrUOjpm3tWAEK11072JeQH6MJ0r3s
K4whKqJNwwoO+UPdBo+srd4eeuv/I/kCRkgNtGUF4TBiuzBr0HetfDN/OPb8Xc24tREcLecuOTNY
7N78YUd2f2vV+xNP8LYY/+Wku9dzwavOstSX/NzYYLybSuea5zEJpTyhTzUpr7LZvHqatvL/43D9
93nv3/7obpNNVlK2ru4Nzn6Lb5c8MpUh9gQvxC00Z1Uu2mR918CuJmtpj719qdehTa6dsVw1Zxys
a91kZtNuvapyDcpvlHrI7toQklad0XrdvM+Q5Nj+UfMotU9uLH3Er0vAkl5nw2ZkUGUhFRWV2TAl
FolQx/Hpslj0nfxmB9XMUcZ0UjVXumngnosVB/pEFmvv/AA/cFovr0DIeVdlsYbFDzDfa7XAfy8S
c8BZBrd40uu7yGoO9H2DmuXUZOgrMDNecEy69oMlDU4DdVKnvxrb4D8Pc89cwSH3pdmMEdK5c55U
l22FNeiAHJmO7bcORdtkzpYhCiOfxSmX6ktbMS1+NHKG0Q8aObcOtvGgfdXr55tI785uzbrAqhLo
wtz7aox0kaBxsjxtuLIhp4CUy5iXKWaayB33a9wUxG1x+BCljotzFc9bg76wvlvv4BLQ5gm3jj/V
4VylRVhRT3OV8B5ZWNqkRdoAgJstcMHuW+g3607JYhI4NCc5KiSL7PBmfTskGfwwE/SNuOpSsgRp
I2IJb+APCcm2qrIhRWaXiSgwTTE3LfnaTw0v/LotMH+tthU+zEMX6+dtICn/qHqSJM90Kil93EqV
wvXebOhRYWfh5whEhI3DU/cJHRopvpetKouXk+Em5HwOQTVGNtaE3abvVk4X/71Pm6qTeedQDL4m
6EAS76MlWcY1Ny2Dk5hMYVE+3gwuWx+gi2WDaAsEnWR282nFt4RtLKyjxUauXLepyjTX4sy1avOO
L74ZUJJYg9HdMks3PoTzqE9+QIx65p2c6/fLQuTfhrkdmc81jK/hpi4VI6DEqtUUONeo9Es60bZ7
EMuGIpCKw3kZMm8nFPMzkcYJQQY1TTAEzEVMaf020unAzwCs6OWhhb85qtrhBLbahmvmyUn0bsEf
F06wjeKArIVm/k5MgJ6ZwSXMviZxE6WFKse4/o6zT2qwaBrWuWKs42581nMo+XvIs/rmXK8J2oRE
F3bx/RYHRD9Gyuvtr6o13YyOmSHo2HOPRatOrVUrudomqvtPKmjSkCC8acnjLGmYsM/hNOnoO6vL
Ml2zUopGXrx3Lr4Ph4p1n2vPYV4K5n2IbnTpaSSAdo65+VFOXmqZ6V6n32PKe/sJ3eUwqcTtEvYu
9Hl06xNUfWOK/7kL2I+uHtx2bYhd1/d6C6Motwor6UfNMM3vpCbb8yRCeQ5Jn9Zv0mFO+ClMK6ve
9Vot24tHgwcJcBMNbkBa3EjENx/FqW1/adzcqIea93S9dF1tyktPYCD/MPciIXnNKCNfUk6Y+Cvy
unxGC3lwj2uk7QdaW5qs9rEsJABBAbxMt9Tfw0PCbXeAB9HP8AtlorAGnY5vk1WZ9jmSsEu/+q6a
4ZTbq3q5E+sQ8kvCFx1+Cjlct9+pXkib23UKwESsQzGiiabhMPJz2xgPT2O4TeGVWm7NBxh3lN2b
ORaJOodKd0kxLbVD7PRxOqgz9NPR8NQLx38YMAHavETdzb9RSzgglKhu8ScedxO8tUPcVrkHXQNw
fC7lbNFeEyROvlewVWfXxlrLs6kMBv5dKVHbXLajnuosbaMyhPcQo8t1hD/nVEyehEExjS2JstZs
3n6hk8AbFHEoI+AMF7xFFcgRpstLMLan9obkgXMuwvdz79GYdort4L8S2IVz2KvJFlxOWEHwJ6RL
8meJJZzktVGkyXnj4+7T2sOfEYAjGB9XIyzct626+gldsu9X+NMNZab6KVkQ7zfruy6rJ2zTPkPF
240//Oxo/BEWHAM2BA1ajXhn8JTbh7TTPJxg4oibzlMLH9w4Q+9nG1+MiGC17JykZs1kNKXbg19G
iarFAmcpcReWK3JEdLIpdR3hsgZH3KGqgleYBA+kUIzPQTGGLhJFsm5b/XEIN1rfuWnz4jI3XVAW
vSfl+khh3vUSRmNdvaKKTFadVcZM4gxqvJzuhcYJ5nlFXSk9M11hv5vKMu6h82ZqeWxkWOu824Zo
ypkdkgB9C8NYVh7dc9sYvZtC3aAZo2XT9FItYULuOlwZ188dSHdVn7mVwUAHXPGs94OIrhEV4/Qm
Hvug/UaqJTWP3NARc6xVjVF/UZNumAkNkG3jqZNp5c74ZUt9ihvNxg9cO1Xej7Kq6RVNtNw8zQOB
59YJ4cjwAlZJtPy5AZUMpvmo6vhu7CopoW1GBxbmSAqO0r2qp9Xe2bqh0AwTaIjD02jhepi5aW3J
K/5m+tFFalq+GkDj0ZMuiOpY3gO/KPMA8anMl9IurzXhE71L4RGcZnHbQqzauAHW5KudJ1jKDR3M
0W3gkijHhUKqXvC6cfxm8aus7oKWMNwcVaUO5vdNs3XtPaS7akNW1G7LD+waYwvb5yoMo7e3mxoa
5lT1yfa0hYI1MPNutrW8pjU+PUCzHIZjjx4BuX8D94txuIaTEtPdMnEB518EAwUmgMQwjmM2Cazy
ELw6uc0y7yu/rm+pWIzIYGSW8nPCGsS3TFNfD2/CKUr7b9swWriRm8kt8XVlNFyeGWa/+lyPCyxo
8CNpV77RKIf5d6nGIN5vpB6WoqVzPN1h/w+sxOCSxp38liReInma4OnLUXZ1Z+d10HxIonVqXhzG
zN33NfSDb2pXqSpnterGz4tNSPylIcmaNhkIYWFrMVLUyL9aMFPDF1DrmfjWgbyiv/am1wTnKwAR
ad7UpE7ummQaV+RvKkx5l/XBvGIrNAu2D2R7QMbyIHZJMQLS0K2QjSbBd1DlV5aH2NTr6zb3+n0y
Y36fdOgNz6tlw/1Lk7TsU0ygi8jpmpZ1jrMoS+CI2CXzhZgk5i6jSwhfZqt6hZbjCPjOsxW16Z5o
Y31gMo4OrG9110/LOY4q5t5EbTiAv4t7VvGepTdfbmfglPPSE0U/w0gbaMSRlSgFpFUw8ee1tWVy
Dofakze4f6LtO6OTcXuI6rbvEDAZ1gZk8RCqpRcNiOrwVDZG2CVPGZMvK5QvQb7wqnHvxs33aIhG
3yvxOTCGpc4TEVX2jR5RY8pUI01/oiv6as0ZLWrRKS1p2xZDWBJ8iUqZ6InN9ubkysdb8pNC7QtX
bJG6mBTN3IfRnOltWT/VqQE1KdsadC2+t2huox/lyLvHoZ2RceVK1kEe1aDCrTmiu8sSz+n0iczA
HtxJ7i32+2QJkaZTNPDaKVspC6ZrhVcI385dOyU5iXlf6FXN7UUvWOpf4nDw7kwSbWDOTQcgzyJW
0bSgBjrSbKTRdhbYjPyUDXFZj88zpFOizRveJOZRj+X6Jl1vBqjbsNGHMU11eErhYLNgG0XKUQwb
Q9j3BqbeV83beHo/mzJy79phjnJcNPTk62pK7/LSK3aHdA2umRpdNB1u3bJhqdWdmizAGgx91dhs
ab5tk7BZBzMkXkxDSO4k8oFPvknogwRKCVb2ou7HXEWESzBbLcm6jtX8PvVy/Yuh+6d+Ilg6zWWr
x0089QEZXkIPxCuOQHR6lDwlG3KniA0vLrBQkk9LknO0kT/hUgTN2jAvpaCRow35aR1S8qHzgTxp
UnOdNc0yPThtxBvpQdAvNKZxHi+zz4kqqzvGmHicuVzvZbSYr6t09augZsirkL818dB8iGvRikyG
doTsZDZa99kSVsKPmUS2u55XuMetd9wR+ZFHi72f6jUVBaYzz5tt3pZzO9Tx/Qr5IvvggzR5lcZD
tVCQqU2Cu7JJnDdZiZmbok1+VeFf1VSu04c45nzNXNUsKaSckfNrUd14AFezLhuwKekQrRbOun0/
EpxjKtrVheQuCu5dxNCNjbZSH94PKirF8xgs43R26PMPP27cwPlerMxNDzOzsfyKzLXpT/FEAnJn
K1uxx3pxBmavsnUm85Ed0o90NjZ809OZ2hMwDWsLJMHI1bULnDBfAgUv4TqP1yquinCs1ZTNcYVU
VExzUuWDQY7is5IGlJpsjde5+rGkMe0f3dK57TtMqTzSITWlMWa3wdqKbVajYag+gaJTksuQmqp+
u0Q4+5+6ltHmPCWIOwVONDK59jf53alPGkLfoKmmjh+gn6VREYklFtcIbVPLrwr9Ac2beZxSG+ar
kE7dj/1IQ54BKJLijnGriVnf4micEJyCIdncHsbRjIgLqk189GQbLMlXjcOq/6JjLa6swz0THRuf
fIlGqoOvDW4pcUxeuhgmiChCqxyzA8lSVs4O0X0c5qVwjRzSTxw9/dPH1CO2fx7HXpC6iJM+wH5V
tnHgXrnf6kVmASEJzaapHJpclNSQ53FLl/UXQ7u/+Wuo0M12Sms4Cb5bjVoEgANxN7zA4znWy6l1
oLteRBWQ7oVjlSEihnToU4QntSQoFqoWbc13NQ2Vv6Na6bAp2DYgBcgM51wCA9/h/IGMr+7z1dlb
LgIbl8m/radhkP4itNTDRzMGnTt3dTCJ6ziKOcYX24Qfip6YxX3VIkYvEldajF8nr3t3tjJsglzo
OXqoelnyvMdt8vS41jWT+CRJhWbAEVX2fLCuR1Lac+BkPs4bKLlokO7Lx06S/uLLJX3XU7JOyA7i
bbNvVmNMNsCuM0NTmJwp/MXSujuvPo3XXMLhdL5udMQBTYk5ycbJd4HNpnny49sk8on65WBtkp42
HYaq4P62r2ZyhMfEXYk0+7ECmguzjkYNvS9rWKY+WLl2n0SKQSjoNLHIZGEF3cDH0Wx1gCx1DYPL
smFeX5AHRMn9hC2g/uY9rS44AkTiSwfEeaLyWMiwemddrBSQ0FHDqznDJItpniKqrjjNBWic2xIV
Vc9p7cMtH7DgP+gobk6mrHiLpVbO912ICsYT6hU0fknbhet77wbxHZWYz0g9JsJhqcIhAe/gEUPe
tUSWX8GzqKtCNgiKVT3op2kKkZltAIz4q0lSldttheEI9P/hXZUM1Dz1Ex3N01DO48NsbVd/g0H0
9DPo9TgWyxzgM7Il+ahndrvc0Sn29oX5jxy5xFTIrUeuDl3TtGTGJ80ZzcqCZ7X1ErkBriodzO7S
BfVaRMIR9Z2pfvZoR4ADY3qr9KDxe/iokYxlJIYC/YpSuhgfaZ/2wQtNIOKDKChppbs6LuVk8FHm
NRzR0V3W1WkJaVonpzrl1VvZwxv+FKHNof+1OKJdHihUrr6C1QCD2iFOR3ZqFVkJpmZFXocK55HL
2tZjRmoEUJu5eYCLnSSz+pHGzUg+Uj8rl6/NGOG0kzDjlqx2qQm+VFVUfk9vqclduqDL/MPK7c9J
m4kh3RV9hGS2YXq+E/AESXPBh+ZnF2PJZiksO3LYgoTsZARL/y7+abphENb0BL5lyXCUgan6eSGJ
Tz5bGQj0H1eiRGUwEA3ISKMFoqBAUtL4+5h33Q9jFhohzjFVtx9BahN1Tgbl6V09sfUvHJ3l9jAY
Uv5slNlEDP/v1ZHHRnnWfwjKkMc/I1hmxH/haKlQGall/Ci6QSN2hGrNiYx6/zKIMrFoNcLdEpNc
hi9VwDmq2Ug9wofYAyh6Fm7gpFimLaQnx93oMtPMyyuYyBH7ZAfh3gYBGz+lZRJ9gIBi2i5diW6R
u6DDwXgxzeJOnKUA+m61s58w5vqhjTRkbbyGATcYJ6y7dkqIPo9t2/jMBqX+jE7dJetjdPlYyzx/
GBYbvCTcL09cbCo9dyXQCycTr8ulh63EJbImvDLYJCPmtXT8qISM1zdWdugedg68nyzu53J69TMQ
r18BEMHhbFw9U59RGqb/j7pve5LUxtP9Vyb8vHiFhCTYGM8DkOSt7tduvxDVXdXcESCBEH/9funx
7toda885jjgPJ2Ze2t2VlUmC9NN3lbFYHK4DtXWNZSFiPlOYOCT8xyExz+UqMCQyQAlFgSmj5h7i
YeXmpRNk8HzHwwK4iUW9OnpK5LRVezqQ4QXx63XzQEMFE/iKBoaHCm8kZtXiD3OCZdsZG0/Axtjt
0JQySNiAt/OsVG5VVo95XSY0kIP9ctG6HlXfdt15lXJr8TsaTz80fmDbW1ZIi4HNVSwLw8FTB0go
pb0HFN3vsEz0fTZxXuuUlkvrQy6HYtidsgSLCPIxTvguAEfkA1cDjtsWouXFOfOgvbJekp7Pfnvy
vKXb9ogf2949jtqkuEU15LnY1IrHJw9xORpLdk0UzMk4GntiysfAWVb92Q0lf4B6eYRDAPmOwDkQ
1MACmX/yNsjJsxAOGfcMnGldsBFp4r+bcCqoRAdOswEe0O089MceDEX1c7mNukvwTcHwHjYlJnOs
mO3SJeWYD8gvR3hRdI2ItFAmkRXDfFxVMIZ7iVpuVKPmiwir2OOIPcxsxC4PoVcvRYF2xREnJiw+
TVpvOrJHA1NGFFO1mhaPMfiujxl7Z34cJkOKdEGiNoESs6OB/6ICTGjpYqOpTGSwCHh9jHDNSyUQ
U5MS5M1Xn1oAGkHc9XNZPpN1w+pReJ7wT0L6HU+6iLY0VUDDlkT1C6CtGCaotUhruNDIbTCMU3iP
QpBqiR1SoIfd7HKuYke3ABNMNPjmqzehVSHmsHpE9+iyWeS+dIOVXwU+lH3VGFDFFdd+K5OglQ29
awtLEJo84FBQVrrrHhwM/E1Ga006F3OY7RcAmGW/FTioG0AOuKlXDIWoTc9HdF1HOr8uFam2ox+Q
tb+OBuC0sRiYRV76UE4fhLOqvKFb3kPck5OmP8zh4tE7GOykwDM1sc2C/+ndkKG/0U4Z5GJDl4BV
4fOX3nbaQ0HiZsKj1wJO+UTa7vINCRx8Un+KhhquRRzAupsZ+GGTwF9h9Bwji8WnZyIox+GSG68/
VNBZLF8sdZFOcyFys7dYr2068WFodi1j4ZhSNNKYJh6nzpUZToNtdM4DxK9BfNle6sHQlqbSuqyi
9ZQbIsMEPpEi4imSGAgeqCrvwGeDClXFSSwr2zCzmCE4ACRQYOtHzHYxcFi/ieEs3Op0xG3QZsE6
++OHrHjTejg7+IFh6LtFiMm3oela+LkaMGQGm2mHOTFIvHaK9oIO1K3Hxg9Z+ILM6M5cWRzt1wEf
vArqADPIytQtl1W7vnr4NJEXl75has4uadY4kC7htgQ38+UEfc491awYvqCXRcCUy4vi1nW+xmFl
mpnAAx40wKxkAq6F47RKdBf1XyuH0zUEck525GMyizdiGJAcByZlYLdd0FajppOO1BzeciweBUbF
sN7emxJsxM91bVWTBUXQexZXd2A9upjFVN0HGPfxLNNIBjwbMBqNH+UQcBvGxo+Q1mxlMIdPPvC5
CvUvwP/Nl2gK5uZl8Gbl3akChM/9cjmoIrHAhS1N5DIi1xi2uWFqj2UH3gs3STCwbJI4+IgdehTn
8QwHYMFtsoFDUjjpVpOsZEq4MOHZDmCSrjBdh+IKY1GgH/u2bqaTLJhVR29GV/rPjJCcJOIys2Wz
6rw5biW13pUiSKe692Y9V1jjEEOfRJiM+52bu3C6qbSB0aXjRC5PWwtdYBISDZKnYm2PiJmp8MzX
UOghf2JWY/Hv0W9QL9vJ21DfjZEVuYbt0Q4Fc5inUHGd+HI188GpPmKHCSi73beN2MgLUEXOT1UD
JjAZSAcBwA7GUzKFKe7NDdjWBVHzsnGidE6Y6GovxjN3LQbtAnCNHPEYGfEhrR6zyvPB94geFI+L
W1SshbEb14GnUyl5cDDrHG2HIVg90iPSjdo5AqZXoCtNzZFfX3F/0vqFa6Sqf8gimLsrDLaVzFpe
ztGjtaBm0rYI6wLuRAjS7qq+b8U5L9q+ebQhLszZ0bDRJzKjUud6wXulaDR3G7+rZ9kVp7WeouYZ
B70qXxIyY1oe01qFHWDrABltFUlmPMyDlyD7Q7ghBQ8owyhrIAe8RBjLz0gwJNpPoggBmN2uAxWk
5yMGsAkX1sh6mO6wT/cAniHGAZWG2S1yjwyXHeaqiJfN9gz2JF+zBU9yFm2bvMIhWnhn6uURBjtB
kF5HLzReSPekFmLYN7Uc+dXWKlh0feqU+WyrOUJoRTMjOiQzxbC6Mvat4BIcJ4Xoiow6XBIBYEP/
3C2IrL9TiF3QNLtEvfrANFaOcvdw2qKlTqLO2iZ13XRplDNa3PApD/pjAHO5PYz9MLO0WNzQX1GN
nBpApAR8q3KTnLMKIL4fe9r3vQwcpanSNiwiHDuHUQ+YkFhXsbdVokX+nG9FvT4gkiEwwN7LfNre
Wc9Z8WVoFGmPhMHqeCRAfcdr2Msn89QikhqzTc+D9coPPO2+uZHXw5VzhacB8K00TLYI40gMfHkG
t1JpDbHfaILrmXTaJsahOPQ44S3U6bxR2iTQxgtw5kFw0aguYRZBHnzTLmgGfia2KfT1ZDa/P0nU
3m2Xb1vm8DpExqEZXsug/gKYz2NpzUNv0AhrxXkm0T3u9m6HybrBBomF9HLMt9NgbyNvWljiPM+f
8LCE4wS7xMAvVzAaAFdhkph4dKvl0nrwpVeyep8v++O7nOGzR7wBL46jipwfE6x37SObJmrw7BW8
G008hBpGf0BMKIqSJalIyij3IK9hxZjf0FIam2EZRRbi0vbV8mHqdViv1CY7/jqtswhweBnr+eSc
3NbXUHbDcnvJcGQH3c153CHsZowxjRYXsHxYF+y5IDDvQuciedIlnAY3IEo6ZDBgNt4AbY0NUCuO
4sqAmzcYV8cwhrGI2t0qhgao3TSWD5BJ+JiIFpQyP9RQNmJfRMcGshujJcyjFzmQCHLtnoDPWvZ9
Po3KxBX8fkGsQugIWALue5o/ACQVAG8B2BDzBrRiq7xYGIyvdcyxyhpgiK2C2yNGSD3OndkKeyjK
gfo1EOVnOKzdPMWzRYnNuO8Ww6s6sSPywzGHErFyP51YCSlH+m96Mojn9Xi4B1PFTEKgCNKxF5ox
TxCUzJ4Zfto7L7YshmNUXrDfAsfvdbismUF+q6iedkALthlKZS/3jv+WzytZnQ7aA4K61zUlolZz
vLmS34Kw6udU5DB//zUF0/fJQsIFfad63e5I9KkOnsTy1xTq3wcK8ZYtoGvwuqx6CAFaVPwvWmi+
L51TSGuM8krKDNskAYgULeRaY7XW/8LD+weBVaAMfq+OBBRGDRRpYCY8PH9jqSpz7qynkIGopwGA
E11q1ALIaKR3qwZ0iwNW7ZFEeSu+pz+XUF1URf+b2ug7YVkBimatvElmCm2mbVrBGXIN8eCYYF4D
/QguLjz++W/6IzHVd1rQadS41aApzhAIMMpH41Q+p0OBOTe12JmQTopEkhZT6er6f3GF/0Bk+X06
UQ19GHYTyjMRopPDIHZmNwJr/hcf6I9e/Tv12YBGPy3LiEM50n1pJv/FhkP+18Sn5Dt5KMb0sRuK
nGcOtR9xObljNbfsL774dwoz4/umV7PgGTDoHYjUKs59II9//jX/0VX5Th6ar0tleFSJrCCexp6+
5LFfYvf/a69++a2/UaDTZmBQB+G60K1DNq+J0DK5qcc/f/E/uEMJ+/2Li8nv7LDWuF1KGdF3DUzJ
JkQ4il6hkHZDPMxQYx/gFOLDX6rnY9/n2ZRhYSVihHiGOlT+GoyTvql9wKt//oF+WVz/l6f7+zQb
WTsGWKgIsi6MSiDQUe8syBX878P5RrwEmLzxX/rA78W+GuqnequefNxp/JDrai5xVinKHdoZ39eF
obo5NhIj2T/f3b9/Xf+j+FB3/3wf+h9/x5+/qgGH/aI03/3xH0+qw///fvmZ//43v/+Jf+w/1M1b
96G//0e/+xm87q+/N30zb7/7ww5zuXH388fkHj703JpfXh/v8PIv/0//8m8fv7zKkxs+fvrh7b2r
+hSHnqn6an749a+O7z/94AM3DGlwWW/+/be/5dd/cvkYP/1wKt+mpnzr3//gJz/etPnph1D+GPEQ
aYkyikKC0hKsMvbjl79hP0JQD6qQMR79kgjQo/20/OkHyn+koQzxAwEL0epzUZZqNf/yV/6PEE8h
BZhLHuI0iEaO/3p/v/ue/ud7+1s/d3eq6o3+6Qf5S97g/9xXEjoBFjIKhxleDpUH3xtCSEfqIvfc
tu988DhJOxN10Xj6rNzpmc9RQnguXnXhSJvqSVRmN6AUdkkKh1C6VGuKU0M+jMsjMJ0InlFueGZa
r7sGcm0y35bmQWE0intf2aTm3RbFg2urwwVBQf2m6FIo7ezBRrOw146Hdr0SikzgSVRf3XI0sUUx
FGElDgJoGS7Pk5Sa7iCVaB+C3nAHft05l3C5MbpD/m0f7ZUs4V5VdWVBchQc4pOwrsMDiXq+HJol
rx+WmY+HEYxFk/pr/4n3ao2SOffnd3w4P2lCDdW9QOTBk4SSBZSvl7d5bDs/31uO7JzEs8Kq2PYd
y3ggliKbGDIds2qzgUKxeF7dVMYHyNWUY9ClhRw2cqJNzpo4tyvwnjpscnmopc/IIdgQr7XLp6AC
biisWJOq7L2f1ZxHETyMrroCzly/jd1cXWlKAhJPCnDkGedAtIOFLdKRko7JSaTNNGkZK7RZfSqs
mj8j4xDZj2I26oNuHvtWBvJSBWuG4SrfKne92kUXMdZ6PcazjhzAt2GFptej9s7bvOW+ZlOHmJ/S
q5OmLot250brfdJj4BBjMQqt9sGoxZ1HeQ7cOsCROd403AoJ0MT2SbF2cdBhEmTMBpuAfEa3of9N
YCpvgUH67edNGpZnmO0jDhZmq/dVhYByHPYAd8a1bDaQO+BXzpBnDJk/9EtKJz3eDYjGuisRlXJg
Ro0PZR2Sm3GtuAf2t+5s2nIe7hreDW8EB5YbstRsTtwIakYNsjkhv56CDWiGJFqRSQSAchkwM/cO
6Y2jyhT3XVYWzfoqXQ6xaNFHB80b/bIOqnoNohpHNYYTN5CTMPzU4Xjw6CtU+vWF0HFg1iVp/Mje
1n4IkK/hEPYg5eUaJ64oAzUe7SUUhWnuWwQXgldO5wCMdKHxlizEvjuYELZrb4aOWCF3/YSNXh1o
V0LAhrjAPSdl9zL5wZCokD0LFnQxEMcV28IQj8t5oXgMINaoXDzhCP4QLZwdqxKfFJKpMK3g3DmP
+UTS3FTueSigLRLzvJ6YwSGylNuSjCj2cLFwU5T4cC0tcUPz4s7n/nbP6HIBb+r1Fvc6g3axBllR
Kt5/C21g7ud8oGk9c/9xK+z24nWTOIAOdFFma/RKQyA09C+o9KWvgaqHl0aZ+dtcTvWL9PkRzOl8
CBq8dk2gt0ugkRR3jnbj55F2+r7vAv/NRgCeoWmV0SOtZpL0JaprkrqDZAAHYIS+Q0bP6p1lbkuR
d07fQIcbByZHB8+UjsUtWi+bdLJL92VF6CqUrkz8XJee3pUdvJrpAqXoAwtlfnADpKZVp9p3qXPI
+dRIELJnPJA5tew3cDOkHr7RCrTt5UZ4YpvcvpXS2iENLWmft5HIe9etd1JV3hKvpYEmWnLf4nN6
45K2NPQ/M4ZheT8Ha8/TqG3zG8Ykjs9YIx5ykPPg05pVgRJa3SuCdluDpj6iDshxh5SvZjn71kxq
q/HNs7EE8knF04w8XprMkI9fIhqKB0Ru9m9iCvD0L3OPg3U4tHekApGbDFGPEzRqJ644LQzEO1u1
ZetgImT+Q/wSVDkSv0MCJZDAPTBNbsyKgBITg0KcThvh45BO7ST8FKly26F1IR93PZRId6HP0Iio
Gjwkg+ABNKiG6oeCtuO+UmupIE2Z9SMiNqqdEGw8kjoSZyba/KFog+AzAhqaU0+2/GfP6kcydOtV
XcyWxQNBlFg0iaY7KAseb9Eb7aANKeZjs07UgXCG2tr3HbsSTWiuIY2DzB5ccXnb8DW6iSiHALve
PIBmqg22eyt0YQ+0MuYxJ1X7VKK7/Wdae3YHkaqENwAyK6Ds9gQlsrhq6dIBzZwR2uzNsMY3zYri
6965w6JWfmrqCd47yGJ7+DaIrbyd0UZ4GSrVK55YEY3XeBTosyi1ApNcF2dqFnFyUd69rZByvHkw
3O7HiOA9W8amd98YuL9URZ8W8Nq77SLLD2F2uCqmafha5IV9AxEBTKlg3ITIT2xGnPth3TgAfwSW
WplWjrHff8s12Nb4Mm0cwLSzDLIrz6UUcOjR5MiDq23DMjVerqgDawIVGlcZjEpwnpRLc+8hGU4k
E4HtIUMJB/bbcIjGm6jE8gLAFsL5uLSLffNYm4M56ihU2MbN3xD63c23fjOXDe67oFmwe8r+OgdV
kPVz5e5BeNTY2Sc93fdKdlGCWicdowIBJGQD7PqqX2AXwf0vmhutQf9ImHtPJdfQawSspu8ASHOA
J3S2JIEvojpH3Nkoo3QhzwKVHy/YsxuIiKBIbmOJsMCfIZLh57YNoW8RPHqOykkAvp4QoRCqGr6P
hs7eua3yjRyrRfdPrB+Zjkej6/M2eiQ4l71jr2oAqJOufDpWGlhqzHWvTou249koSR9WEtJTEJVN
lmsCgV9YtPGmNnu39RoXJMKiG3vSmNeLE+cbjlXo9LGT2Ldm7I8Q6rQgAaGAiPIxuIJ4ggI1hGLq
1YB0n2NUYGIc4gUYoiPKu8V1VZbVTZuPzauKfHGNgW0M9vnYzyNCTaP2KoKc5XO0VSuUXuITCdph
70SzptQLcDsXwZZG0xA8eTVrjrCntFD6sUFfEAstn2th5n43QIu/L0EVfe4LYl8olk6orOg0nCPI
UXaAsAiB4JGuB7q25UlUaj46qIB31IwC/VnAcWdWooGmriEjgaHoZ0fdWMcVAsKSlsnmcwjzkwGl
xsLDlJPwhjnIsdLRJ8tHznW0m+GXnTAY7chwYWCYfuurITxYi9t/Ri7JGWryp8ChRdJGy6MvQfBP
4OD3S4AUjlguIVaseuFkD908JOyqLdrHCrfJ6wjwDMJkmA4qC4Z55yMx+4ECwl5PM9QzdaLmwRS7
ntHgE6Tc7ssgQ4jmHFZ1oMNthFW97nI9H5DUl190Wxh0SNFKneBrRmZLPnONZXtoP1ejsLiI0QIW
lWL73Oc19ZOtnJu72iHlJQa5macK2O6dUNVTSwp5V1RB/gSiX3oJ/JrsOAd2TtHCsuZYDJX3MfCO
PJmmhhQDgUigHIoJJ/YygLd4YU8WRTW45BnKR+Oh0/xad4RcdcQGOzh0GFT3oNIklOjHzgdvIkH5
3unQDCmo4RvZVf4NBOg5iEli7/NRVVfN1voZanW8MjE+9tjY5gjRTeRoZbrkimZzF9U3PjwBV0A+
bLPz0D3WHVDEZ66nDcMidAZcvPCFtzDCGFWylLreE+cRA+ILSoYFdKprULyMWOuwgzn+gJ4CgN9s
xpSY+WPfLihGCcErcnB1zzW4hhtIusu7QhpP4KlwjmERW7cTIIvxkxa+eA5b4aC6lzloyn4RELAo
fo/FDp0K3UjKz3iAScac7TFCe6zDbtr2jwCwi+uh4RNWVKPg9tmG8ETxwb9FYulMWtpCQneLefMI
shgUSruBJksCaTQ5DJ2hGaqJdHnoWpCMWDWd76Wz5jlsPC0FLreRDt+SKQqWBLOW1U6GDO3HUNd6
bxcVy2Nf5MCmDWb2FAbd7naT7fxZyQt5hG7N/nqGwmAMoKpLNBR0KMJEoPFtCIvAZ92sOKGVQV13
t5AlExjtxrHlKS8DwNcRNBBr6i+rzRPSl5odkKoHtk3hVj7kC41ec9jI8hg+qqiLG/gYISufR61O
HqhC9BP1Fx0TwoNetYa8a28ECc9AH6D+r2lRPSsP+v37Tk1uzoJaBd80yojUfhi7yWU5MRIUhQwL
A7oNN8etYQGOHG0LSW8clv6GTa9FsREN3QOeGZj/UAy9Qmu+YdbA6n825XKYYJY7Q9oavGJZ4g8C
DROQveXRuV+ceVxdoxtMU9urhcLTi5FFCi3wpmqTTCUIsBhL0ib+34Af19VXmObUN/M9+vE7wOT/
I4iEBVBM/Rk88mzAlvztbnp7/9DlbyGSX3/yV3gk+DEkPiUwJAgRRfRiMf4nPCLljyRiMORHAUXP
enhB138FSBj5MfC5oCGgE8hZ+SXq478AEvZjGAQEPwn0BAIQQf+vAJLfgeoSqA1UlmjIFYJQVG4x
vIXfopWmN5DXzXzZI+YWZPE8udteIQ4hgbd2+uJFW3O2JEIo8W8u1K84zW9xGV/8knP1W2AG2oJA
+D7MjPjgAlal3//mWWP9Bam67KEiyTP0GPPhraMQw8UQb+HcNw9+U0KubedPLSQp224N1NAkocQk
meTQQ4k9aSFJSTQkmJ/zMa9gIfD7NUbMfGHQBMbGhPyybzW/7GGW+v2UjLOPvQ3Z3ww+UhW6L8yO
MTPYofcUB5TPXdCtb07R6AXAUVfuCF2We6cvujUc2aoz1B0YJYGiD3Wy+HT+1AeyguWDL3DOdueg
UhVUMNDXbiLRW/+lHj1IWtiSbsoHcpKrrwvyJhBZbzHto9TtNdoE2kqxlV1N3eBf0q4CSHi8QuTP
3gJ5924rPHV0IV2TPncfEqbZPQEsky81PRq61qm15V1YzjJb1m7DZKOaxPP7lwpmkARg8YRPSx+X
0JNxFdEH18E6y+sWXGinkAwWseC2H2waQsyVUAYBVoExP7HTyC9ZyC3gFNJDfDRhRlnp24Da8LiI
gjPhQBZKrE4FQ6Nw3magcGFeBu4SjwxyGhjLEs3B1+gSwBjNtb21EIpcEYwcxy2fpjhv9ZwZNaPb
CXITWFWwTc8FhALGVnLXhIxdkCazNxxnIAoFQQavBz8GRML/B+XXzp/m+ZQTXe2ZLWkCcfiWzLyn
hyav5ywfiu5Udo3YRxwJmdPm4MS2k4cUqgBmeO0X7bHvveB98JfiACbZS6UnvBuMUv3RV2P14LYW
qy3cHAHwi7nCIr7mkPDXNWEQ9Ydw0qRBKOHjhIylhCGKBfrNSdHARrUxfO9VucnPxRyE19JV/pd+
od27ka6WSQiencUU5raHQjVXZPVUm8JCXN3UNBqPxo1nGEW8U8eG4VQiBOm1C0WAa42hGIblDXsG
FLkWB2EdlZgNCFECZqZCqDuU5GH+IDn3oS5TTZ/SjvIbsFcbSVacXa9a3fn7FVLObt94ZfjYcW+C
erALSDqKfqM77vmGQFktwmsCZtfGenTLPcVGDHVR6YpTUQzACEYCaQcAHjgQc9psN8BMIMkawRU8
QF1OoOStQLiLseiuEAtBoaxCCjl8yiH6PRHI+aSmyeRxCNEg0M0QMvKYuQAHYR/21VvWqeUlKkZ+
KcCVMBiIlcIz4wWT3YXcFuPJWeN/qBEcJDQT/kuDERzCUIC833phc4SWQAU/xbAjgtEA+MW9h4tK
P8NJdTtDiFDjzMjpxJJ+JEgrYG1dPs206iEyH73zNBA/g7V1YAkvKvkwb7y3eH+dztrNu82hDBZF
g3in8spf6v1APOSMY5qIu4W2h6WM2K0IICIfg/nqkkoMTZdoriKDvprNR3IBhWsm7SDiPtTDeNOL
Td9ByvZeNr4A+AlfQ27a4oDReLjupYR0EG0XmYQ1PSs6Wd2VUHpehv3wDB8N3aGTTn2BrQn+ys4T
NwASiirtXG6vcsxL3zooboIYwhMcIZEqVOIGDmmebL1DJuXkuP9F1rY6tXRuz5GUt6vsYIuFoNGw
FFHrWnzAS4eIB2jGYaQLe6/Dc+l9Mh1ODgaasF74/BkaNJlpnGnvoeslI4SPeZhCKrCc4PX5GNiI
9UOrIMjKacjTiDoJpVGQcCSqAdBbYUu6TJpHCN26O49AS4GyRmS1E+RzPMg2aNjT4m0TlHKuMUeY
UpevxuvmG20v5vtSgRvEYAh717SUicNQi1gWtsJ5xnNoSbyl+BIuEOh6PQ8PLFzxwbgkOEhYXI2V
UszRqjxzfI9xt1q8woobuLDNzZIHyFwo8sPc0i5RHT+ZtpTXAxXlCfTkN+xO1U2vIhSlTWNRA4ve
uD7itAm/KE6txW7aNuLiCtbGPvXcOL1XnoMMHfYIciVFr/OY5jXiGsvJq9c45EtxvZbLQ+WK5tVU
ExBWycIPUvrzHvJjtGBEeGD2fFzC5QDrdR0AzVnCG8RXdi8S31OyrP50gEutf58XEdzpdcy/wATi
B48aovo5MVsP14EysH5ePD5TnQ6YDlTs+cW0a4Zpu4b2gyX1TL5AWqwyKPm3fUv95QwPCnIZ+0/e
OkPGg7QeuiLXtGEytYtg/r7qZuDswRAi3AS6XPNkGxqUIG7r4AbHbbvunJho3C52vHNhf58zaEzK
GRlseui8O6j/85vVszh56DypkMNM9FSlPpi/FOimQ6IXjnISAGgYTGekjyQenwC7NlWBj1BeQ/vw
DkPhV8jzg6PVEqMCoSClEdifeOtID56Xw9YEMiiltL0awnbdbfPE9+ECbCQvKFKUywJfMryf55oX
LwWLih3U1rgBcovluWA4FJsAuQ+dt5UPHTLAdiBhMs/myBoXfgZciF6VKwi51jM+1DxQKK0FNQmc
TgDsYEqNL1K/GGB6kzg9UjhpcKgfJM49+IbsDrMgSyBrIemybs95u+BCdgo5lQIXth37/FqFKHPM
9fBseek9RaqfDibi82XUkHEtJrNXMPLvsQJBPs4HpFo0E3CFmTYpR1XsQdQMFtA6utOew+MLjfXt
iu8dXlht4HtY1mDvoRlo16yy2E9h42KAdQwPfBXwM8YF/bkCqwjzV8R5NutK34lqgMXKNzrcqT63
nyNJ2gcJ0OQMFqT5BhGkOHrYco4+nESv9QBr90xhb8ssJwq8yTr34I9I/g2W6fkguAsTWPFRiIZt
Nt97Swj0W1U+TsFehJ2zKRZyEkWw7ldaszekMcAtR+h620WmsbE39PDq5DMVJwRO4Ny1LHV3giel
eiwin59JuPhPQGfyj1bnQH6HPuz2EMRXDRYmH6CTIfwEg+wlBXito13BvAoqp1UjbaZwS7FXJGz2
HaFAxoMQRmuowpG64UCvlRQe5rnpyQIXdyTR8Fv23R2yL70nKkV9qErtzvVab5eYm+UTVF8dgiSA
EMQbxgcYgHudUQ2M+2QIaaIdL9n21NTOfcw15KPpEDbNw4SsioeoVAMUt5UoU4y2qOTFaJ/VORic
0Clyk5d9fypzn+wdXUagc+7i08Z9UHyqgjFIu460Z/jP1qfFdsFhgdrt3ouYwTQp8jumVXjd+qF/
Nn0oP3mtbRJIPdQnFM8iuABqbGGKmymsxRUNC2/bjXBcC9xnQYfJvSQ6wYrnxyjdqK4CZKLEMHhM
ewUKjQFRqVYAKjhZgI5bSRu3ODcgXoXn3Q28HuUe6MQIEVqPgRFFaQ/CeKjuGPAOeuRJPEMosABt
nQx7ynMLx+zmIa707j/ZO7PlxpE0S7/KvADSsDqAyyHBXRRFatcNTIoIYd/hgANPPx8iq3Kyy6an
rczmaqxvIjMjQ0tQhC//Oec7bBHsbzJyh4kFzBBB0Xkk6XPCVz6Di62wSmLBwm7uZWanazf3P9Ok
NuDmgE5MPGQxTExi2zR1/JNDS77RRA1bIppzlAiJ1WdX4E88oAF37zy0803zO06bjiKVjPM28DQd
wdZFDXMKqDOisKKHipH9/QjPQX1WtJc010nRivhI70UEiaOe05CbCBe8dQgLaVz1ZavCtc3Mjl1W
9pq3Ehj6dyTy01thj9ETc4zke9Yyc+dPIqo26LDRTrZ6d60n03iXlW8/STWaxEhb03+Tc+TPmzRJ
yseo0OKfahTpEaqR9dnYGLqwhydMGsdaqBtOUPtXCy/tiKRqeasiUc1tag3WipmKEQ5sncGq5uD3
2TW42ctV21nyVfDj/kTjtZ8dgcv8ySts0d+HVWNbm5kQe7mhFYrnp0jJvFlTaqw9BlgYF4uIwE8i
jSk51AZvwkBGGol7JomwCYtJGKscredoTxAegor98FQZSCg4npv6PmJOEgejZplkoWsXIy00AfSr
oV6sn9J6hysS70qm0C+1b8pPkysRk6S6ubWOfUWrCiKVdwH8Nu/UTxE2Xd6Hq9wX+ifa+/iBfJke
BGndl3QetDejrhBaBaHgd5FM6jj047QdfK+6mLMlrhHm84hkiwr3dppvmqnODpyo4ztl2viAcavt
JS/h5+BGw11faeLBjut2W2juDtXTvSSYX469MI1ADjK9lbZmn6FDQ5Jy/F431k2Nzqm8hpmUm0/h
qWrnlhXHDc9R7H3IKP7JUFddZa2HJcQmFIeVhWV51YnB/5YeSfQYhucWkzbi32jGL63ny9cx5cnJ
tbJ/TfMoCkIlrHMps+qY5HZxzZhqRXasr03EslvDcfYhL8AJKJhLv2yLcpskGs09kBcBWdrvj3OE
850wyfiSURO+6rQsvu9CJ30glWNt8H+DcimMur9ThPOCVsP5SeFufB0YAARWnRCKAnpQP0jupF9I
2PY1LsoeUogvV51XtZfBGUlmuc2r1FVSBYoAHseDAn6rohZ83Y6Tuc1kP3/GAvIKBaH6OsstzkDU
pbyR9zHPlHxnpxyG01viNuFHmLDmOxHnNLbV4TZF1fSRcBa7L/to3sx4p84S7/pjzykPXg5hw+2M
q/UIbLs+h9ian4eO9d6tK/mBno+1Ye6Tz4ksPlkUnyu1UQ7u2XO5rDGu5elK2FWIHCbeavbZU7zR
GdYphZiE3TIaY+L0XFpD+JIDBT86dZi+aBXvqw69gpvgUAZePWVBEVvGg+vr5jF0hzHQBpk/qak2
z6CXym8bQE4DMa00n+BX9Pd6wZ63wrFr/SSKyw2LbGZ70qPOxzkdptFe441mbDAwaAZR6ky+Qsbo
owCeErglVZMH8nxlPCKI1U9ua3afqRYzW3Ez2ZSB8puShHYefo69njPcj1hfTghx4mFm9XuZETnF
XQrlB/yLKOx2m2Ze+Bn1I/cr/CrW1yBK8VIBUFtnrlt9qtHAXxHq7mslGNI4RV/d0fDHTQm1O+Ub
SosAEle+TQbXvuExNjaGaJ09r2R3aY1uOMOSw0VdyOFkDNTMdKYXbgDG5PtJWtN2Rpa86zwWDBIB
9Vvr6sk2ygrt5mBgQOPQcQC6654lvlqXVVX+rMAUqHvyp7Gz13D1Q4VZ7CNyjIyXkttGvKqZRH+T
qcYT3+rTZkonJVbhPEbxqkI2fc24QwYwneDWuIzWV/zlGRUTbuNCbcadXWw5BbR3kz7E76afGE9u
WvIGopSa7wEd5zZVONYZBEXli100311G2Ic0/1QCcQmn74oz6CF2NJahkIapuGiqwBk0bSdU8pVF
DLaAlKykO33mypmCnq15Pfa9tR7jVF8OYy8sMtVxalGhQ5K8kUy0U5T2Hj9N4rrSZ6quQfPIJKyp
WHq3PunsS2iFxEuQyslYYvkHbhRmBwdW1mm0S3FAC+DtoDH0O1KiSrIrj61lmyq22CGawHfzFVtV
x5OmzSclJ++cRFMcMPRod4Yf6l8xb5+v2lhG2VlZFXx83pxErDtnIGflFr5QfwNR9jDNsbFjbx5v
WaiVJUkmq12jaZHO0fCDY8tvL46pX5aZ0DvwLLteEeYyrCDTyvTCya5gVM96dY5dTzDt6pw4Yppu
R2uZcvFcuWq2mb/NPZJNnL/o9LeIFfl9ceVokKPgxll4ISauI1m6cBfJvACfspLA6lALvXDiucxD
f9UDAguRm/usZNOr2pPdMktEFjHD1yYiioKLunvHA6kDt5NZtxIxUZaOqOHVSmRDspy6happwofY
0K2zXmv4GkK/ck/S9929VWUpys3Uneper0+JnXg3OKf1thwFkzwTlsHbUhJxYbjW9RvH6jjSkF3I
Ns2g4aqc7TrdRPb0w5+bOehNFJs5MvWf2hxlhyGcw0fByrQCvmdCTappgRCzl22jVOIIc/T54ndM
32KTaN3KSAvvrLK+vs6aAsRBlo3/pVnlHmrn/Ak6wz3WTp0+CwdQIYs3ZeimBYwFsY9dn4e6u3An
MMnFk5AKdH3gzOXae6tjM+vpwovQ8LjuGd6qNbVnrx86knW41IypWFKmdaygTOTq6oZmvm4mTzv0
uaiPGiw7QiVl86ETsAu0qEqgNqckpf1uz3V9lxlFcxn0qt+2mcdUcVZspPwnBgLbK+5y5Y5bWFa1
G5RxCmkQQlC/sa2YZ7waGDcIirR3MmtajHXYKO4xQnUvgC4MUBYlIEM5pfGKyRW2sQHK/sYleMU9
eUzqp4x0qL5NnE5NwewOabnVCJJVpyGOTUayNVBlwo8Zb0hy6Nprmdrd0dPjlNkzh+hsHZMCvJGG
aJMT8lnyiMVpSZ76GsPe2cHZF+BDkd+pS7p4lqP4AIYnbh5EMmPrlrnWbFLyUvnWsUC2kG+J/Ra9
SpBYk75n3Tpcn9l69BGTVxl0rFeJM+Fr0PRphgc06vZBdW0ojjOj/icK8WAqWOG404C8XJS0kmgV
OU13xd6Lkm2SMnuoRwZx1mDT4pf17w6+tyD0CCQZhu9/aJUVb+tJxaT1XOvYYWh+SbuUcE/pKbKQ
IsY+Vho5g5T+wKswbzq9Vvci6VywXZVfPfb9QEYknEAtYzo9epipHiwKCtsgxfl+F8kZw3ffWN5P
pgbCAVZn+hmxIqQDTQEXDWA8tHtmyA04iahSb4kn2CAYoU5nmm3cjYyvSe1KGUSl8J+yPiwxrMCn
yUSbBZCi1Dk02Qn2YM3qYpXMcf/lxWlHvmtSslupqkAhZ+rsXL3aIlRcj1PuB4k7ac26t5jUBkPl
lVlgga3Zso0QJrb9/moRR35lcD5eQbiUE1zNfJeUdrfru5pUDWadi1X39ibxaLnf4qqZCHY76QWP
MWCEavTER0/+/T1RIj/1mjE8tKAdG0aQRmyfGugpOj+CnF9jz3DuAaHSnNa72vA2zT1eb8HhGkql
SncYeNRFkQ9tITrg21pnvBBXEIyzto5qM/oZUt8h14ltGI9RyKB3lRR68ZjCj9koLeQCTUjOYTuF
tYV3iYuUoqnzvq2M7tZElX4zR6u8EJgu09UUJs37rLzkXsxkr1ZD44mz3mkLnabsUgLIfWNgOfJN
grC+iNZFk+h4xSTzTyyxhXtMMeL/SLJi/sQQxqxsjDmwQUJpxjAY5rgMBMlu2tjbIX/l3TaQx88T
dgKmnurS0VnxY9T6ZYHjIXIM/pDrWuYBuMd81s3SPcYxkEPcAHA/GGevZefrPztbtjEETXY+wm/a
s9CS+gr/1T3iymvu7LEfDrMVy28YYMlO8LZtViNtbC5OHKV+CahDWM9kwB0ih0QmaIEiUOoeHdbt
YHCr/NFWQDQ1E0vjnE3yZ5k2Vr2eiS/t4DOU+5SwP2e0qGg+jVrvqIiUbnXjisT0uy6752ywvKvH
6ezHXLvuIzx7fmlZh7oIWwFuOcyVoLKQOxK30459po8byWv4WI5d/4MdqPDwro7+kzYbVrimW9tM
NlUXP8jC7W5VlTmoB6wtVIQT7T35cEAf8O/mp9rgg4CKJwDshPsgVMk0QZ8K+TEzVls25ME8e5JQ
YuhyK1lF5ZjfcBhn6Rq0pFk/hmE1X1WGxBZzuLnT8fpdEbfKA+XM8a0znXptZsoBu9tw1bCrdtO2
BtDleAwvxTCJIx8WXXi6tS9FnzbcreotDodsY2Dd++TK7N1Ld54fJlX8xPsVFNnC1Ysrb22m/nQW
NFc+JqM17trKrdZp7D9OCWbtTOQOOyOjywMOCSddWSAKN6mpiyVkzLlCuDw8U90HkIGrdNVq3bgd
uL6i0EgmHFpShJjV0v7DjSvxEOo69FDbUu3N5kDPTSB3cFkCxQW9pyBpJbheC1rNou4dF297h7r6
AxMcVqq675xLHJnueRSVfVWMMz5KF1/8KjNCfAkQhqNjLHk3jXq0Z1UNF2O9B0qXmULWSvO7LkP4
GR11XuUa8K6WrBm7t0aQOeNUrIFhRSepueWrFbFlgbfiyBIz4cwMc0xWNmpLtZJG/bI4ng4Fr+8m
bjD4qphctO7CNvEmnf4l3XJsdtNIIVr1ffEhrLA7ox3KDX4W7xtzWncatSxnFmx47zp5zRZwUQ6R
MdMH/yhDh4Osm6JbWbPkBmMCqT11pG13WGotPOOg2DStdj5rxy7tdZz3Gm4hsEk2M5Jk5TDHOPfK
YZHz3aZWq76LH50SzYe+6PEpcZX9E1O/+ko4tj41SpJ/xFW2rP9hKe+Atnm0eVlKfTQZ+uWKVSF6
YUTK0WQmAMBKlbIYD9hY0GGy3mKjyfr4PGq6/kVwxSs2Yx32TFImNq6p9MUhrFxIML2lAfT1W4VD
3BoOk9NH7FxlVB1Intc2UTQTm2sa5tNr42Umug2+adOs2fNLWEKbUOhVuK5C7PxB7+KzlknI6g15
NTu6vugAUxIAJ488uT+w+CbM8nQUvxVGXHYrM6lDbWX4k3NfF0mMf7a3sp63ObsYeA2RDrCSJHQy
Xym+TJbZERGcqvLh69nGcz606ChmmZ3U4OLshcOnHRiyF27gQOrjN+DMQXSTifmMZgvxbEQQpS6i
dJyfYKTL+xoF9crmxdkFmJtchQ5b+6HXiwV4bc7qjXmzuWmzVHuKlttV4fUzlnNfQTNFH9yMYFIC
leT62YPo+zOzq2UTw5YO6wZ+iG3IIdw6uAggBvjFaS5046jKRt1POoo34UeG5AUOXmQac+N5wuDJ
GuBrp+OVNOqDFXcjt+vuTXIIx8hc5gdPK3HCZkYXkMIefhm1kxKlbhP6j1mdo3nyAtfVyzttqM11
OPBvc+r0JM9lp7/pWpPcQ4jNzlk7mpuq10EJNmrokjWe17dY1vO1HYbyrsoaDxnd0Da2GRaH3HD1
H3k9wLGuvfauoMrqEoLCIC1Nr2og83H+0UVWvI+I7BzamfQJ53XGxBVhkT8jrf+vg1H/33mDgLNj
y7EJiP7n6angVx4nf7cF/e8P+tMZhP+HDh8Hn48HGmH551/OIPEH/Frmvy7+nN/WoL+cQab3BxQX
8lSCkNLi/iG9+E9nkPeHrZt8lI7cxnUQS82/EZ3ylxjk3w06GHldk5O7QczCgSP3L2nYpHRge/tQ
5ZIWEBjM36Z/kkM0vsVDP1zgrD9JrdVupdVzgIcXWp/gAwOErY2IB2lM8/cia4dPQunJIcx8uQE7
4aAOMNgz7L7fJvC2ORjp6san59i2TAEjGFm/uJJ8oeuCi599bdOkgIPYzaqH2h/Dp8YEL4kzu3u1
Krv4rDigBxpMrlUXZtnDVDm3rMqHU74MI5UlxhcrFfpGT+dwFcG4C/ysrx5ZtN6gE9lrg6HMiuuY
2ghNG3d6iV0GPZgbYlcjUkzNI16beOk5qCidYSJaK3yCUvbNo13Y2qaLQBlEI0NXr+2dPRDgZtfr
CF1kk5n8mGH+DXysvBsIQ3x5omhwAnT9lyy97imVZrGDjg5c1hbUINqDxX6RFooNDTaa8UEkaVpj
rJLQKTz/bjTUCFFsBoay7jgrfljcYmnQ9h0bzw0WyffKcH2sH/XI2Y2KPtT9wTk7/ZA6q8nNvBdP
y7tT3BgFMW1vxq4zw5L5R//Hfy8J/1Wiko2bB/g/Xw/2n+30WX7+hxXhz4/5azkAx7503+LIw3q4
dDf+wyho/8E7QHDu40v8fur/Wg4wCnq+ibFQuJwy7N8hy38uB+4fvG1036dNB7cghcz/xmrg/O7R
/vtyYBgm1g1imZat47n5V6cgJ7zYzKBZ79JB8y6uDmBvW8xlsS3nNH2L8NK/AyDEUwXCGi59E5qc
s1CDdPCW+xbz7SEF8PXo23wO7jGp/wLHyHozx9K9RzK0nxOHQ+Bo6taBtqr0CxO6dU93kjqU/LoX
xeLY8EAxTuvG6O2fmZoZcXeN7O9FrptPtpvCOkyWafi0zMXhXORPJrI6Vc5Mzctlfs75lKd3man3
y3Sd/TPC2sbEvVhm763mhS/MkdIz9uJtskzoPc3nTggeawMdiWvPMsmnD2TBXnN4tFLLoNTEC3EJ
kRhalfQ/3PuJVe6SDqnCpgclsBqZbbCccHPoW5cDPNN5aUDC9THIeDFE1ykR+h0h2vpsxbF2VIvg
wDlkuEcPtEnuI0UMWMjP1SJPpItQ0Zh2d4jyzti4i4KR4+g4DHQcgBPTgTNL557SqfwevuCAZif9
d6O1mexp5XCMXNNG+WyyS76IJM5iC1vAtZRhIKEgmeOFStJ6W1H3AM+unVY97mzSm71zbNl9nsOs
/i7LHjpRCRcq4fqeje96r6IXeijGt4mWiSc/lOEvY+bWCjxrWWdIkrHmTOjUyQFcDzaqxIr19+L3
0mX/Xsa82VUf6dSM9jYL7eSh9IbwDqVGnXyNyV5bj94EiXX2kqBi9hlM0HNtCgMsiJCanWMAIvpe
3nmDLL6NZfENsWfqzPEMB25TVd5Zy3odKqd5zCd+LnZT6Osucb8nlZZXjriYwBcpLFtEsWKRx9Qi
lCFiylcmc8lLpWvg8hrtZoq0PqUIat8amcwVPlECiqlcem7SaFJX8KE/YwQ6Z1HqMNQwcFBueDI5
+QdyLB0SqWlFS0X4W+pz3Zrh9qL/cc80gmTupqNqZvdSAMiutOyZXgTusOOiIQ6LmtguuuLEdGAP
bC2+axfVEe1sYy46ZKV1bMG0JYkr2NbqMi6K5SSEov02dt5jqxUkRxdtEzpa8hLVeXYos3H8KBYN
dAxBdMbM4INqUUhB6nQBROcgE841UUbD5A491Zf58JkC4HhxlBVzF0Z3rRcFdpYovavJglGJZSOx
znZB4irgj6LcdpxouNTa0cmKQfHNbltfHIWBJPHq+jX0HQIUcaHLvdmYxHH1os7wNHBfGPCzrUMC
krdIg4ZDdU9hXUzLUYCxftP8QBeZq8E0xhdRJO5RwucN4EZWZ4A5DW6F1LxQv9HB7JXGpifDcuwG
twVu6KaEVwUuqnMWR8mwCXMshVwVjF+emIASMqg+mwYtvcFYNLOxpgk430B7rJug7DpuaQzZx2dO
R2WzM4Sn5wvNMXMDEEQ+/rtUgF61wC43lt/EgSzZjBkayU2VW/pWhg3rYOViOAlquwRjVqbk7nrL
HZLt7Grefe8ZzbxqWYrfXRs7xQqpdiq5idMYsJqwBTPDykcH1nmCvfrYIn3f4blcnBqLjwkXoLwq
bSh/drRkqHVYRuaH3TrKWZV1F78rErY2Xt1Mm8jJpC7WCiyA7jsoHpiZDO69Z0PHOpo1xggr15zL
I5Q+S6zAv0wH5oxOid/SswxmxYn2xbTU5I5HevxNkovxNn7utQ96Lb2zVU3Loj2GWCnwhObMFPpS
baWJOrrzTF3plBv52ruI4dmssgpXAE7uToEhFaDw9kli1u3a4r50z0isiTdK9ZbaRCbteutOG9N2
N5W4Y1ZwVKpH8p+krUZvRsUiM9V96QRp0pWUQsQnRidm/1jHunaCIQpsF/B8u3FlHE2Mv4vpUY8y
nN22mcl3YHGcVwtS9ulqlKONK6qb4nUmNYp2dPIuGF9zKvci6AfDyswz4ziluSCj2RMO7axEfbea
KF8lsYkdYt6Ur02we1hxVJPfIMeFr3L0uzMk22+y+u2nk/g3Wymd2QIROHel8kpsIXMx8HCk+pi8
gaSfja3vw5Y69TdRkU0HXURuCPQpF7vIGNxbmHmz9xAtshi5mQK0bea2I+Aun78A9ol+B/OdUgvh
TmJcI/mnz6Tj1ImJX/Si2wkGHJnbeCQMnbHCKNrxl+Gxq1g+wX46eGJ9E8ejc9aygSx+bxsQyqkl
dg6alvPcYxzx3monF09TL8gOFC5SYQG7gw6k2K6m3RyG9GkbkfEsOxmfswKjMqoc04hNKcr0zXEH
vmc394qjsOH6BfS2hAi6sd8dCcM0r3R6FvZh8U7U65CQJJ0NgOm7NWYY6y4r+cGR1TQIIeod3yAG
kvxng5M+xiGRzvelNvDE9KGRvzIBlSfWUONTN/rpdSTtfqAfCpn3d1S/0koMqiOfGhmjUvLd5+Ov
HfWllKBk/rhzHUd7b0DvnszJ059xLbDpEWnYhUnpv0Sz0p712s+vTPIiBgRkHQKSAMUZEmHYLun3
8ReLbn+BzWsMKz+N+5dhsKc+mIHWf2hZBSPLpOWEZ7S2Hp2ELCUiZqZ9lU1PPI07ZUsJrI+FHXu9
x1HBl33+mcT1XOObGzDeEA9H3kiTqm12qVnoeHZb+ViVOqDAGG3r1RhDYlPtNLo3ouUxIdSRYs12
oLVj1WdV9kAEco55uYRJ/gua4ynsGSCBm4ivYx8neMMh85E5x6eZzvkXPyuyjIzs6xdmxewCQ89U
0DbmGwMYwOKZVRXtKmoMHpCsLivit0vc2yR9+lKn6FzrWdKYPcSzoBwkdN1ojwnWl3duZLa4uygk
6IMQM9JFJ+TG29M1mZaYWRy+hULlh8JXA+pRzqsa4TR5wd0jrsQJ/CCvE37uaVt2D0ZeUL6idFZU
3bO7G+SC+jbCU+PvrOvmFsiOxxPPVRS0wISPwdeJktjscLwznMnda6k0tkZlSFIyQ8akd9Zh1LpG
vFxi2/SCHxrGX+SV5udsuNUL+AcAmIbo9HvRKl4RjJEEIXTFK1TbdbI3VOR9Zklu/WDowLcV+Wn/
4nPd4/WN0cdd241+MJDK9yKX/kuiJ9UOWK/G4teb9zio03M+OUTfNCefd+lIWQ47bY1RURhFsipS
evV2Vdr5d6GvvJOye8tfz6bbp0GCLfFjzDPGXnnZWd957Re/QplaRyfUoq+5Nyc48d3s35nKuo89
Sz8Qi2Cb/30T+u9L4391aXTE/5XA8z/Ln3H7+T/+DxkzpkV85F8RM+RM33V8hwWBzNhfBB5X/OEK
3bEYFv0F2vlHxMzw/zCE8FzdMFzD43b4zzGSYf4hlimSz6cTQA/8f+fe+C/kONdevgQUAvRbTzge
mvN/jHmJLtcGQ6aI65I5ySNOEu+J401ZByi24mK7FIkFGnmbbamramvrfbrJ+8gJ/nbVfvjznvr3
wBkPysLG+vsFlm8D7ijHJcfiNu39/k7/BubSsalivveZtBrwUjMPM0Ao/PAwRIX5JLPEv1NCAIQo
V0UIeBt7195DSt8YKbcJfgunt5FVuyqLiw8nrjm0xIC+qYVImPIDQnvQe4qcZhx4Aa258j5OExpe
0sbJNnajmde4a+EWcIQ/EB1q11qjzTDLozzcaG02BpbjTpsyQlIFjDi+GabtQioVTgmef/JPgv4K
hF+TVsmUPz9xJFHGAfUdhykVVPhW7HvAndqe/dHB9Nv11ifFqfnZgVzAFt3kEi+u3pwUsdoEAvaX
ZfVEUrPWefJ5E+wophwQ+0ZO5PT6pKs0zhKCCmP11bted5BiaC+x3RtHrlRmIChpJExj9w8R4k1g
l+bEkM065lW9h9aH74u1+pmBIH6g1GZTsYGGvRkwf+hQ5BoZj762lYAuD2lphZAdLPOuiSNtyx8h
yO6GIqjGuN13tu7fRZo1HnCCQ5qccmTxaCJZ08gTRXgJwGU72tRjU3OMo8B8jUHN2mJ5djZhb5Ma
cET/5OChDPyksgI3auJHah+dN3fGItZO2E6tVifX3Fkzf7XmAU11wrWmjWfOV+mTHJX2Oo5UdKRQ
Xvcm0UwiOiieTcVB0UI6/tkUKS7RIiuvNudhzulCk+exLloIBJYdGFDLOzWe7bjZk545gbkAPac0
+hx19+Ky72I3ySLi8hhmzKI0gagDvHczWDqZNQFG6cRC1Z1Y/mMtKMM5IxddbDrRPeQyEas8Djkx
ya7kntIme+wVccCxtrmvs6x/S9Ko35VdX2HtIReJ4Vz7cmcmnt5QTvcFmf3AH3k/QdWg6H2J09RW
Vyz/Jn5Gbe/vYGBHr7OJ4Iyza5jOkQ13Ko8r46orZiqyGNQFY9KMQQj3xTjTLQzN+kItHd01hZx3
ddT31zx3gEAsYBIbqXPTzEiLhUXUcQBH+pBNSXlBgYk2lpk4GxqkxCFmzLF24oZeplI314Pb16BR
6volL4kG+onb0COY0UPpF98EAKMN8nLxRBkp+GtItAGfo1rLuBH7QdGjrsh1HCpgIruSm9DGKief
ZHjhYhvQfH/TRrq3VrTBBW1kJfsWE/YGG52uOOdVOscVryXxwEkfdQpo2T0YXRFotXItUPVTgcSS
W8cp5iwuLSUulAVaN4Lo5NC7e1XP884fKufsVfa0I3w5MO0Vxjny4ovPIrMhCHxhLrLOY7LmkV7K
02BYyY+pauPvIlJy7edQsAx/Du8mY8TX5lpI9az6exqIxBGZiKQYlKLDzC1zq7muuHR825jMHcAz
VAN9mrWXHEXKkLofpfwBQKK5sTJz5HWr9sNsZAorBFu6H4mCihMo1GTAaKvIDsjHa5CD7VIkIuW0
c2bwBwH1XtikurohaRln49bpfK++Lwd9LAPmdehgULSDJda0TSOwvkw30F/DMIrX5HDdnkyPbtG1
zsyAPK41imBIQkIVWnixaW+d16bjV+aKIjJ+zjiQekrjDE9eKe4ROQG6rn3pcKShPIfRRfQt1wVH
DOcQX9aWNW3adZMsj4jW8TuxWpwdXsQwi7Ea8V9l+YvxFnfW2qQNybqLoSEcXRC09saq/V8Tha/R
oS7LZjPKvjx6NMO92Qk9fHNa0ZA49NQ2kY4QO9K/NOz5eKO+kyqbarzAbf/tdl7H4GLu3xBQ5L4W
1aWMtddGjd2+JN2Gf4eWVA9447yqcwMWwST8nud/tt9pEBA+NsCoerML8Oo+ZcjwmEb3EI6UoUxF
UR5icwkk/dn7C1s3f0D+HoxdEY62Ooh0Gvy7uqDv8JfQnE7ecObZj1FdWWrb11r92fEofIahWb5U
eaydqfotiWlVbNBEavlqhT+Pz3Vqt7DUmtB+iYbhLSt87QQFSYUn3aaAT1DGJNZOD6Hqzwphsbz/
o7q1bn/2CMN8AxefTIJpnOnc2Ao77zC6aZ5e+66rDjRVJY8Se/gj2TaFFdxoGDYMhd98RwUNVJsY
T/Yr6qz1gzjpdADq5hCBG8RJTIP3yy9cGBehqad7DcvSXZja+MY0RKpHqB3iXKqF8JDl7o7rpI0z
QWsEXlHRkPAWzc1mtX4kCt3sqRMftlEXgWDFIeXh8rQ9dbbm0NrbThIxYeXsMtohd91hdF+6WM+9
S2eEbnocMqIgg3dKaXbglkPaT8+qsF5zYWh0gDVt8j46qDyrtmastyryqLc24GOcD0EnRnlJEW2r
TZ8wQMfj4emb3NBacA6mb1yNEieFZmjRlcv2+Ja3NfkXbbQeq94ojr7RwRe1VHUJcy16xoJF5ZjR
ZcArBj4FZ60RrkjZguJSyUivrtmfDNcGle97Gm0XZrUzGkl0c5wrehKUuSVuoiEuReHw3CqjTIMs
bWgcEGWGPJ4VZr+ZaT3CcRQPlGpERaX2qQGvZSSVhwlAfcWuNhLknuLXCKLZGUdEQYFQbDA9Z/YM
h4/IzMD+WdCbpXELOcSFmi/cWEXQNn7HVYoCLM5i3k4palxZVLOCcGkWVr061SG3XMhT1L/s3Y76
qGNXpfGR4wy93ia1EhBBQ/FkM1GgEbFmf98RFjMesgYj8ThxmczmSnTrtLVaCEbN1klJg7ckZiiO
drCB5bp7GqNuIko6RQXjvbZ7q0Mxr8LUmehKM/stg8GI7ciCVNdA4kNry3f4kaLLQLp4i1V0Ovwv
6s5kSVImvaIvJGSAgwPbgIggxoycM2uDZWZVMc+Tw9PrREsmk2QymWmhhbp3/Vd1/RVJ4P59995z
LWwuZ0l7LyGJLt2kFuPdn0Q/3FOTrL2/IpuQnsiPpvPRTbMwfUjqFGuQ5P3mfgmWyoBPGFRqmd61
ZGlvRUf+X+RwnoIC7ub1Xq6w7nEryCzoc2/vajnldrlXICNSFJDFsdzbOq3e7Fum9kpfakLsZjTw
G5TNVkW6sRAI1c36WNerTclPOd0SgoRsqAlAn9Lcy1+mMUpYZun63p764pDRGX3DjiqoSWjq5Q+W
DXpO4nrO3t3BiwKsjOScvax3yIzqAnAELuu63NYlxIKtqno9i1jCoEXW072NG0976iNbkqqMojIO
bQXIh8LzZifbrjqzHtWv2eyQjZxpoFC46MzjFE8aBk4Dcp0XRW0RZrjXzgA1QJ0Zqx3yV559ORla
OInJ+B4xP9ys2ey5V/eL/szbJqGmMhlHcH4qZV0xRNtyiqZjHntnPL87IE3Aufuy2cdsSc+zDdaI
NLT2tc7R0O/p3NKO7Dy+WqF5lP05CZvF1Sz+jJUTP+S8FTn9iUNvOoDpIDmhKgY51q0LlC5ub9rE
coNmxBsHXHuqIRSdPE+j/cGiHtyCckkEuY7+sjMrtmRonAdlpyYXaGeEJzXTOavSRnsjhcA7ZFEQ
bqAvVfo+h3qEl9hun9ZZAkFSgymu8KU8P/VW9YUkED0uvMX3Zqzp8OnJUbKHK/yx6P90FgleGett
gBbZcHLGEZfO1QhsY75GHZcCbG4nwU9omy25s50wFtF371hbyUFDtU2bbcs0ci4Luv+bMXZIUnLY
0U/S7wso7oq/9TqcOzvOT1TDQkeUZjGGbOa5uMWJedAte3m0FCB0q6hORV28SrP8o0XuwzC5NW61
hNShyvFGJ9WMQc7lZMp6vwaOupHYLx+Kti1/pqUbH2puX/j/o/icrHkSSjeej47xnSNCDhTQ7XKR
+zputVBoVsIstc7BkizlzuBAwlBH/iCDnIDAmI6LH5nws5IDus7xvvrpqviUr6m8xE5snCoX8yg8
KvKIK072oDAmSlfxCrpzGxubfppfGr5MOwvHlo8rvPHvW6qAvV3+GCMHHKIutk7uMFqPllG6x0lv
pu1Aui1g3Z/uI77tp3G5d1KLujO4glb6/TGEQbXwaGiqKwjEqTCiiJDkYXp08wE/7hyA8tvrzsQz
vfjoS0XArSM90pwDssPM1KkDDRgAIKiZs2roZYZTGruMre8mtmxsq9g0LNasKrRSqLE6d4jVmlzk
DiSZWGbFIVpL3n943d+MqKkBmpQLhZN9op2SuPU+dLxpe/bHxjsdo5bvtXFxbNQKzItQ+aXQbGtr
Qy4LV5Alv1xwve/SWZsnbsAZtsd0esurqD6IqtGeDMi1T/na5rwrIWwAteqQuIYsuRBwWbc6l7Yf
AyjBwTUaDB7WUP8G/GBjrydg1pJBKiM7WPToW1ecfWJB9MS/TbTlhe4GGkOWSW4alu6hthTOQZmj
h1Ny9p7voamgAlzo14BLWeZVYtsLw6WAsjnrKHA049aBJCeUIMIHjl4+ZZPKuSdU3Rc0bFK11FX7
FiP+oRdmiMFQO+oiLbeVMQ/XwRt6HHj5kw0iw3YruTGt7lqb762uLiMttKtwd+YgP/Nkfqhm3Qhp
pn+mi26H5gWypQsjUgocSzImT498xtXwvYu9j7L0AnNKvzoWG37RYelm7UhvhBrL0KPsfMMxU52t
fDZ5jrv64Ln5ybUTItHKWk+SpewWbnIRlrm7txbIJXhOijDSq/Qwg6DYi2l81gX4dXepJt+kwi9A
PGxzHo5aHnSb4QreeP4jzOweFXIozEEvkXBSeUeauhYmdSYCeyiwSXskYWpUj5Mq6Gikma8P2XEy
MFVt5pxTAvgAVpxgpYjl0BU5DnfnYIzJySjNcBVUsZKBtV+bxhnOuuWI1zSzKKPuEL63trlwMOZl
CXE9jxZ39F1Irbu1T5s3bfaKwBWMKKvE/Y8/sznRrjU9Nw7xbLzK2UKA3iXDTBPJcSjbPxXwwwva
ilayxNVpFkJd0xs3IOFR7lgxNYcMvLHfCoXnP++Wy2rSFSkdU/8R/P1QC0Z8kw71GVgF3fYw0ct1
I+duwwibIIpi0unjotlOrdJ3chr8UcBOyzEjC6npTwCceyYc5YEa020Ha5Emu92AW3U/pxVUZtBH
B516HXqYZm87a2TENk1nn0tKNALZyPkM2NfFc1TDckAiWI0/rINZTuP79bxnwjmUKIjbkrIwH9Lv
OR7/LODpBBmamou42apiY8u4DXs8RDuOTc2f7UIFmanp21orZ4LUk8GUraUhJ1eYI7EbDhKHNQWo
KOhw4NZct+YL5ZRbTts/cjavsDe8fe+sIXyZkw0XcsNda9dO0+doznHnKwGjseU4eO4MfbmKKPkc
hUkOo9beROrZD2Wmhi/NFk3IP8e0xbXFYYA4iJZpjCuK9qw8calFGzSZ0n2nbuS5Ne+gZdv84AWO
1UNv7TcBLibQErkE7mK8lY6klFi6nb92yY47tN8BmVpq5F/9LitzNG88p0O0G108yKX8mzvmQSbp
oYTxkczlS0vr9gZ7tJ+2092YJrDFRIBjSrEvquVDa1yLb4+Wb1PEFlh6VL49M2RDkrHSSxZN6d4z
htvcFVz1kMtvYOteM2psfEeBjTIKnfuiwcbIgTYFzybdKcLbvpWaBas8w7oqJcmgF3ha8i6LwDzI
rdnrWwlEmySlMR2t/Kx5+qmZU6jkdfV8R+2MU3WMvN4L034kXeGhcffj6AVjbZQvpP3Vh1cNR+r6
EIUZONCdVCjbQu2HJiXbXailPqQD/CZoEcZBMxKgSz2xknad4l9xbgB2cATmvP5FdIU/38gxUcn2
22HP9TKnjH8GV99DwmZoW6nprOEZwj0j152uALlaJsmHah4f4pJ1yzjWzZtAXwqhIYwxFh9XbI2m
yTbVMNGo2yzN2XTYmDE2RPhlVvmM4x8KhL6qS71ail2mKduDlNlIAFmlQeWps+aUFYm+TPGD0uN9
Y0Yks0xn8TZtI9LXCe/Sledsa47LeZFRf0amW4Gu62y9DrQiu1t+b08K1tIOyLokIIS+BPyZzk+z
Rn0I7eLZi7Ln0qyTvQMRet95Tf5GWBHIod3dRti7SHM6qjJmv4C2m3Ebc85zT8aAnyUWbTzoUnTF
YdPjnrCsjkVEgljFYW0AXrfz/GnX+DWAqiQHCev0ggsqp3gq0VgRF3lDxizmZxbOSrgIaPRPYlSX
xNjsjF9H6Tt6ZJWwoWrt3w6rLiDL5I3weavHrEejC/L7PtzD6MUmVe1y04zf89XOCdLW1RFct2q2
PWxCSh+jvkIMx0mzn0lG/iLQDbYrF/YOshc44iQfoeBzIqer3pF/cBpT472wUDWP32yKz5NcTjQq
a2900NOX1zB6bHvNMF7AjBBHoZ6MnEFRl9lZ9VzJwF0a4TQbOl2dMURiGJKolGqRztURQNqiuG9D
fgvmM/jHZ2Z58y0l0HowBkmSNmm4OgL2Oc8o/PtKE/qjiS3ngbir2LdJl+0JrXMBMmRrbGNYBeRu
mtI+69OA1JnjFPfMbpOxpTh7nW0+j6UZH0GUmi+8+KuHUeKKmeIWg7/ete3ezErR0qlEuguIS6Oo
RWobjj4goIvVTqzZQEGQ8lzM5MuVvC82dALmr6bhXkaP4m8HfOcta2tgvsr6E6FGfuuEe5PAdEX0
OyrS8oVryGfm2RCL8+7RHPsXYm1TMN0XXiOVZOCOG/rYnP6Eu4DH1Wbx5cpqCpW2VmQkUid0G9AY
1Lno26nGbxuzHgziJV9vWOOVj46A9YC0Amuz/A600S0WdJLmgbKmlwfD2NW9q7dNq5w9FpvXaUmo
+DK799QACEonN6wM05bXdYjhqml9+8uKXVLReuTMe2GPVuuPRCo3jc1gE0cvCVW1B5dMF3kBIOHu
eFJ0rvLCU9lxMZ2/Kdf/jciAleasoHgTKLI/BC7IFxV0icPDAQI8DkZ1lmt0I9RzkzE5tcRxlU+O
C3/bYP5UCTpvZ2NUUiV34y5bxaknMvZ1r0reRrX3yxsMN5RNQju47Vr0fRdcwiAIY2mIiuygcB2F
nLqMxuYx5db0mhXE50yDx48S+/g4KlcLGewo9eqKxyGVGjwHQ9857XA2uKgDpJ32YmUrCZVu7Q95
X2lXEK/35mfrJWloj6hAvAQWoYcNoLcJdk7GCr/jL180d07tg7a2+plEAIYAqAtHw40ZivPcYzOE
/wKfzZNhAsiOOgBBENyNoxkRW1LDnfZcPet8iTa6Pe+6ySGTO1BqUGTXBXyPn8jGwgudpQYxM8Nx
fHtc9ZB4/gCOrEZMqlmNWtvBm3gnz05en7xaDAlbgM7iYZ6BKhmSF7IBgfl18TT5u7Ydtpa0EMM4
6lZ+vCAYyPtPwULSNWGkzpsdRNnsMiR9dIOctR4xkbikOYbCx5bzasfyUfYZPQOW9yUz41TQIgnY
0NlbNi6NbhGPHvciII10/7ZpkJbd2zLiKZlqFq19A56udmgKfYz6KQlWBJbnjiiVb4LfexI68WxY
sEj5sUzebDOTIcEMrjSqr4OBAFOMmh+0SWMBtG20fTl4mxiLFVrTJSZVf8z4rn2VlGNEfuFg+raG
jt3LaPMNiCv7bIwY2zBql/rWbYZjPFluAKzrgGOGShLLptLYJW7JtMJtgYTdwnFSAvLyddvSWTlS
jyDa0uPH6Jbmm94m9wzmSGGfq4rqG0AbwZKGKtkz/6fZkXbw18FlRVVo5q7m/XbxFgpGfG1S2s+a
czHjPJwf03md8MFWeQKrfNA/7LTToOuUgvZEw37DrTX5ih07qKEx6R94L4CiAhlT/JLKm34SZ2Cu
Y2ngTYhCeW6vp76yU5BsqTW+2UOfPkzYKuPNkvNDQGOakyuQhIxaE6xqAIAa4b1AAeoPiaoJGZSd
Pn3OumO/jomB17hw2FNVsV3D1FKWVXMbNIuH2CZ444uCHOpmjct55SNJ6Yyw8Je+kn8hOK5xSPoV
RL8dE7UVOoBQ1o2sG5NfS9DT9/J5+qDs4Ae3o+YPy/DDWE7Krk3rLNBb86fgwofghnFQbbSMlQj1
BC4FFEPKm6LmvwHFyf1lkXXClVK3P6os57vEP9b7iyZk/y0Kk8YTMgD1rhkn+3fGhXxHRaw8uFEM
2rxgtYo3jNLsCU0YAPiwa9LCfhylxRstcWIeFHCKgKcTKe70sg79iUQAYBzvvumCzdOL6Q+fzrir
BkUtq5GloU5sUOK75qYZgRPNLFvzsygrLjCk1TObtWTXEiBYgbdgp9bacthQJC6hfgO+jANHKvwm
RmR/13U7TFscxe2x14ry1Rw8QGxsZUNHFeKhIJ/X+07kzkjRYMtEK7lVWoav05bNwafSHYriHtdf
BUrJ/QLWHO9cGrdvPPgt6CZvPNRmbT4AwPjyADICSOBOuxnn6dNqBpBmVtxuc2u9jbRqB2ZTetRW
4kuKEpNUxFCuQbt8NCm0OHCDwqwxXhOOBTtgvMY4NKcl7/Ze6q5vlD7rxGFJg47ZOAdKGQ7Gve5I
mSZTh7N2IVNgsusF5Mqx0XnXj/IX4NFk2WYVQADdm7pL5rL8UqzAnqw8AhiZ0bL5gti07sjgR49z
Nae7AePiZ4SHtFhZOuReBFm168q3CpidX+euDqbfSx8x/Yn9ZMui9DuMocQRORhWn4SKhz8RTPVm
yrPsJRn14Qm6UVluzTKNoc6ZenqyiecBYCWYTwcIZ7KdOz4wbXVHQxthao/T3qINAp7PXVVLD6AU
kE4FYbH7Se0weGwdDy92gyFg04CFeFMjSRfC6QvbFPytCLNGQLXQtK3t5oXJjFvKYHV7t27EBWvR
tCupNwqW3PyF/haduIhk54LbJOlrBpoFEh4gRV61U4YpGRPqdCGNab87oMLKWJ93WSqWsB8GJ8yb
hh6k1Ujh9/T6UzKb0x6RgTXn0MyAFri1kKap5ug5mZS8sq7kr5IhCjptZZ2Qpo0bnyp8b2ktzcWI
RttHXYNSQ2uniY2icddztSos3ktVFnvUF2ZAVDd1nDsoca618vSwS32JV2t8EGNz0+I1qNjmXVo1
yANt3lQ46NKuT3EVs4xrdXvlF3TTuKO4L/e9tf7bzhKz4SyRVJxajL8LrAO7QSuiUMRYyTd135h7
gs3GydJVWIA1+8oxoRpbb9JmB0BClb7x8/21mG22VywROLrQ1TdxaTC2qSiQWU+xQZbsEysFPUx/
vA0FijUdyx30Oz2wLEE58ipGuZ1ziaTYAWtcVrK1LkUJn8MiFiD8nI9N62SbIWEwgPd1ciq7/0eH
CYcNmjn3/3ZJ0qeB4lXWxVkvqL3nDT3U+g2tgeJant/SXl6Nws5/r1qZvvRe5/xGgfPO9mgcU0xj
zYZ5m4Cta84dudPUKIAGa/WHhiD7UBttR/C/MngqIMbruWh+zTjdYFyRwTZBTElWwdwZftiBMnmY
rXiIiYNsMQaBzHQBxSP8q0OdVLQB9crST3FJjyuJCgQm7V7QMmgUrKjul0c7t/RlPeknts+cNkSg
sp+IZSVjgjXLvZiNLMSzg1m+Htt3FkOf0Hq/Z+UVHOOyexUmPdBpawOu4DhNPwzmz/dhIdvJW0hf
wrnjns6s0TNNAbLLXWaWIPZwkQNjqB7dBbRRVLnyYShLZ2uCew/XKp/g/guX2rA+ri3wyrRjxzOB
3plJdND8hf7Efww4OWsJTODdI4oXntq0NthixL0KXc30kDI0d6+1ynysLX06O3SrHAfeR0+YPDR/
ZdMPUEypGx05VmgOQ/yR0H/0CnEjx+twB1cLOAEbUPzTvh/v+3Et7wzQwzN7J70rXQQv2tHnLg/q
1MZM5MScBCk4ipJ2mxwr4xwHUCRMYM5wpIeK8ptNtUqgjTWm+kDCEd66Tv83M9IhGOqI6pY+w87Q
5cW6NQWsI3b7fqobcKJ5m0L0XMqzVpg3ewLV19NhsDHt1blCDyPrlyr1PRWiJeLnzu4jGdgZgpxN
O4KeGuUTIq33bGqWuiFgy2/TTaqTtkh0NVCMx6xzMInHcUERcA3t2AKRe1jE8NGzh8433QjwFKd2
vsNJ0+05SvG7gIl5IJv3hAUvPyvuXGFGdXVgze4bpP8k6IGqcJV0VfZKe1N1mzH9qo0+WtkbyQ00
As1dMTelU+M3Yr10PBB+lUfTve3YOfRJvk/KOTnaZco6MnLdY2bb1ybKy2AUpRtW9VId2GUQkgAi
wjdCzUdagtfHNevYb3aOAx+YHP1HVHW4PoQQ75oUT24XvdL3Nd+SLq4CJ2KKA09IlmW2k6BU2WOC
TpjihgqBVvP98bzltGQNm9dCVVdQNp1fdflBcJ19rGi5D2eGKApWSgDPDE/i0lAyE7L3+3H75sXS
l1NMQR43MftYtSWiDWTnMcwipX8ktH7v+qL09rZlla8GOLV0M6BJH6qsOhq1HE/sBPCEWLYKUsNs
34qcD4pWOoz1pdlC+EGopk5CQgnBr9T6rZyLXQxhNzS1FFsHUWa/1NtmN+cDCwAFfFnfNDG6bGLp
xSOv6QmrvJWrLSdHvUOT1E/kDf40ncGup4+JB6VQkzcFUuSV95bt4/9ajvgJLNTpGDTmEKurC9A0
9EZ3fcJiWWwxorOS8ozqqeVy8TQPi7mNk7L5XIoJxE8yqumkSgiYiWe4f6US0dsEgHmTrAylbKQB
AvPNX2HjpLb3XqXFEsC/Y2uQ1Bp4MxOAJL3wh2y260OZOOajkcr0KsiahN6awKvwZjHc2A0kPwXR
E1DVDXADwSISu4MhT4vsrQ8jnxXvs7Vna6hsANGL1/lLrgp8Wyl6AknfnzbyrCMXlfiHJSF3iOy+
ihJt9pgyhJcMAiPsnOHjvgp61yNcWdS36MPnig38je1G+ok/bX1gtyG2sRdp27Xzsj+JRkQHCBrK
QVQXL1EWJVtkAcb7ioSJ8Brn2daBkiZjC1EH5OnTFCOf+401FschyfK/tSGm54rjFWFmiR5ar7Vt
vBMFJSsD8BaNrOxxLIXYgVZEVejdSr8VxUL8rGvlBcmq2Lq1O8LKm63+AcXAei5HBnDyKvlzXmvf
Wd+52Ls5P2kBOYKfIHIk7O4hbpXxZVcTa8Wc78ymIovPmZhqGIOAcQ/tah56sAN47jV4Syty8cac
xy4oKqfZrR2LjCbzZlrHTOOvmbnRCYdOU20aDRQMIZQxuUkuBzvEuOhY1nwPweuXPLaM+ozObAtQ
o8ynue6jp8zz6m2MEeClitJnTlfuPDazNMevCLvScdDSkvzU54V6lXNCFGyg0tfSCkpPiRt3AXfk
/N0DVMUyWouSj8ly2Ll5RTazdmC/veKr4RWVavnO0YUFNkOuX1WTyr2boN71GPx9j5HT9zIoSKg7
yzPbsCEkznZ39913740+9n8x1ywUS8X289oa64EsT+Hzc+s3DF3escnpM5qQ6H2+qi05EXpqFxIj
7BUWScAZW17KY4mCXaorfbyPoIgGnHHDtBtJRu5wk3HnjFNtXyHdPPcT3JN46u1Qt4A6+b1rzISa
0d7/rpqEWNStFQxyPgNCI4JouawP9TRH1y4buwcLDjrsF/79Y0JS7PIdy+UjN/7wwtEuU0QkeysL
zaV5h6K6YfNPeMWyLDMLehKn2Tb8wq3/2G0dbZUdFZ8F6FAkFCzDr7JA/7BxX92mKsp+5V4/XW2B
6MKeFjNsPmkFbyQChv8ndvn/R2UrsBF0aAP/Y4D6kmIE+Sr/U4D633/bvzrhPfHPlnBMtOF/K5z9
1wC1Z/6z6bAOtQhJu4I7Ix3i/2aDN8lWC8J5/Icp3WCP9+9GeJMqWvzrtkfyx+D3Svm/csLfe8r/
g//c5axzyWFLUzqGcX/V/WcnvOLVX6HiTmE1MbPYedXsZ7st911mXEXXeweauj5JhiqqnsY/ZiTh
vNqkbf5nIzzew//m38M02aE4DrKfFP+lQ1p4sUYXSTSFMu+LEB/ezhL5DselHM9JcrLwAAAhKu/O
akACy32zhi/skiVq2LSdeBlb59ojyfZvK6eTXp1EphpAygMdp4MbzNI5NQbK7Aygz7KHxwXPqBGx
NrIbqQf6+Dr32Xmx2YlGeNvL/qbAl815dDRFM26wRUd9+W6V7OMzqDSZnb+MqeiQ4+MvizUjHKFR
Bng9VQOTu8PXxB8UcEgvFqlTBJnmRSzIFdGCIUrcEPvF/SYAdAVXCp73j0RiDeHoYQ0b32Hs8kyr
obGDAOmDbay1GisSA4X7ruXrU5xlzy3knD6m/004xMjZqeQIMU77rJT96dJDiCsnvwLS4MoZT3hl
rdoNhZ2+k/oBlL0epbL/1EkauvovrddfnZg/fnAunENPYB725lBvISEHs2kCvyZcDhjN9Bdi4ygk
38AsfqetkKAKBdpxLv+auIAPvW0mhxJZPGxBsgasMU6DMV808Fl43BPgOjTjgL57xnV46PSnvnJ8
ICQyWK35uaULzSBljm6a8WmREUOp3KYyGOR8bDPxWrpui9ZESrB/biv1d2ImUL3+uVKdtzQ6Abi5
+YhZeSx2emJOs3el4qYZ4WZ0vFceLwTRHZQSjJeYTQLF+ADo9Epk9SNq1tPEdbVzPKDFzviKXSww
jN91WV57fToxuZC/HEHRYvPbGIMtth3DPCa4ANDPr0zAqbeGdaOr4sPh0cRM/wpiTt+wfv9dt8i9
SA/klxE5TV3bltnwow8N/ladvOZy5y1XW8eYfXtK3rPSeLHKd6fr1ocMw9D7tJacrNYjFfETy9jZ
20BNnw8QlAPysYzMHsNNFQ5J/iGJuOeEjJf1obFfe4u522jv1R4NatLgYN6c10MTZ++WUc3hONUB
d8TbGpFuU0grVNtD8XqwlsfObS4Orq2+w6WGPbw+W/hTxpFYJMTD26CiYguXNRSUQeFoUnYAmSUP
3eQGEvUMJJUt0qGvWMDYsrlbkW8po/gmjtR7s+JYzuU3pTzbbK4YUzWju7Se0fHNyQtiIBCa1cBN
Kv22C3fX5jfLABPbGI9YKQKDGbXQ1zfdLUNA0PCgYNeuq3zX2HBz49jzaDiBnpjlQdQjtmhDp5lp
kteadUBiOg+Vub6mE1DDllxxSpgXaL29hf/nU2VH9lY9OGa/N+/VRqvrnOC+b4ln/MjJuhlU+PB1
Mh88wjCQ8eyH1IsPKvd+QWs5pKP9u86NAzeUx0VHF7XMGsZsUYVQvOZz0eI6rx2FEbLLnqgt5NYT
6Q8xfBX8OLeObZve63zyQAVjBDG3SS/0qM+BjAS3OIpUrOU+xkn7RubjsSR0DKareQEWv5+SCOyA
neD36pvv2obbssi3Eo1c8j8EZsYoSZtysKiaIad7Zb/4EFXD50h7S4jVGW+9476t8/KMGhODUr4o
ZzjVGPCmsnvRMRiuov0cCrpaKdob6+isL+MnA8c71K4S/Z2/BzLSotXbDuD96qR0Olnak+fy8RD3
ZfCujuyyU3/M8XK37P/YJXdZ6LjzAXdGaJpiv3bNX5GXe3IWXy7duHhko0PVJCYQNr751V2lNFr3
DymrN2bbjL5ba9uCEiDK3jC2Ff2WaH++6Y0qdFfvy6TSYdP2rGW8Qd8X8s4Pz7RXsxYItguXvK67
DvjDWq/6Xhyn3VolfDmC+18ZefmJ7+EmGebPyYtulea+aLN7F1uvq8k2tkcJ2fddfjFrEAOx9aeN
NbCBXVwERtqfVz5Wav8u+YSIRXUFpUfoAUtXUmKu4XhmGrZZQkVboecnvnqHwaD0k13/rWuYyBeK
sEl4aReLPDs+wPR3Vzf7fi2e9KHAb4kBuy9ornV4HjqXTzLfdtJBmBUHrAXHuZ+3rJJlAgIPDSKs
SRfoS4SjEvNK/hph0QT7sQfTiPhWIT/xEoLRthuSaN/QaN7Uv5K+uqLqvE+dcVDAQIfCOhGeDeep
2bFWDQxvIibhYvlJacbMs4Hr63MbzUE7WOGSXtt6eCflgC2owPLV+25hfIzF8GDOU5ivLLgcb58O
EUimPgpXLVkDNXUvMqLbLh/xs0EpOcru3fW6wC7GjaSCqfLMcC5GZMWzWgXSPSFSmGeP2iouoDV2
UwPr2sv4ymu2c7NV8qdhG8COGYrdQ0Lj0LRedVvusoxlpC7+DvQCbMWYwSZjDSocf5rTv/hIfiex
9SDkcAUDHKZYQ/RlpqzkjlfpvA83w3I0/h24f7OZhCxe+b3dXe1W8SWsP/iKvLULsY3i1+Tmn7R2
/Yq1uy86O4/6+OBkko2PzeslSi42L63VmB4BgRydGdmF7tOlAUJrl7/KWCuCRbO+QQFeJwzmtVou
DunfYMjwNHsovIJlmDF+jev4QXfKtrCxohjZD5jz71IsJzIUFMKhQWPVstldyaS59LjNy4JxK3M3
M3NceRS8FDBrWryWR3jdQ+lbw7gdVLmfxWXNCEegbIG3+TO501YUcRoQR+FpHvZSBZR60amU65f6
nvYvvPYcW/ljV0mfGMYTESw/icGslMNncqmKs9m/ZhYU2VbbNX12bbI+NOYehNWUvjmpg1+Sni8K
Mv05uzlstEdnX6g5rMv+t+WpU5LmIW5KepHNs1WatHmQrfZotI774oSfBq+bfGPP+u21Y7Qd2PFs
Csyhdqv1vp0PK3Gh8pWNhPUIwcvwKYV2N+AEuNjUsDtr0kCz1tEpjao7AI2oLPvWJPIzzpYfMxrf
+6nYa0sPV9Hq3rr8nvrK3jKn29q4rCQiQay4zKzsaExcRZivItcXdvnUNhWbsX6/GKTnsOaa8YXp
zYN4rs6ex6Me1axQ/hZJicb6OLTecS69G1XxD1l/1NKFGIDjqye1YgTrd4msHtqoJpxqdhQdJQnn
R7rV9PFp5CgKlnrcsNxYvVeQOu/xrD+lo877wN2n8Uue5vtB2CHZRPKE7q7pxjMGkMfJgITKA9T7
05r+0oDVqtag0mRkls2+53kIccqd0wa/Gfvdo/Jow5tb+der3hK+m0sdH2eooVlXhxGGWkgkO/wt
qcGsX7gvkuJB1xq+UhQiXYd1RiUru3juDyA73/OBRMnSvrUrxSmtdhjNE2EQH5GO1nOupCqSx7aU
zxjAJntLKYI1A7TNaQKI8Mjxsi5fY52u3goYztFzyvOImsTVsl+PTlTllwa82Y9mJx4h1rU+RJEg
MaZ33vDBxqp+a4cVIxMClT8xP/+thsG9eZnush4V0+9prknJ5h6pAztjdlhlNFHjA3jVtRVKlK3/
yKpIHl2BvKS3MRAdXvb/wt15LFeurNn5VRSa4wQ8EhFqDTa25WbRc9NMEDRVCZ8wCfv0+sC+V3Gv
orulHkgDDc+pIosGSPOvtb6Fx9XGU6WCUJCdKcMHYqT8JA2dvJecho8FREvc9YYH96WW6ioLBfJK
YhIaLJyKF7ZIMUPP8hiANvrNPym+gmJZPo3SN49oHfoQm5n1qPyWfl6G4Lcimdsrs8rKs2kE7SP3
Pc7HHMymzQBZ4L4pc+dJ8BUzQ2zYW7JkPJlWV5/V4MpTT4H7Hishe9xC7wl+aXGSDRzmTTkU4QGX
W/OL7k0iR2lbR5MXQoYN625lxsRXRdt3V2EfDBhFGe5dpjbk5678+pd2iQgQv6Ubyh44z8xm9qiE
Di4mvQRfNU0G50z78V76ZFXcaVFvk8PsPKP9+5mLDu+P6GT5KTK/p+3H8Ub06CS7dQftPXlQKR5C
jG333RjWN9bYeg+Dm023rQoTcH+XAQASfl2U1kVPD7Gy3GfDdaHxVelsvzEcHrErItK6y1QAswz6
G0oLAwx1iX5PVt8RHZTiTMJ6+gQhXd0h3jPhtHR3W/RWdirTmWJjDzJDKOluT5ju7a25kgfJuX7j
OzV234HCWye2rYia3fIQJrI+lOsFuyJTOm8SGYOUKUYM3A4qpENrSkTAqHwnJG3f1FDKjy5JobNB
vIk1pZLEtNI7Nb1PeEgIcAMT1sV8a9vgdumZnofHjidztiAEzuVBKWrd+mb58orM4Mbb9cB84uEp
NvxnUS23fpO/+YzSXa88JQix7sKQzNUpnRLTuSHcQxDG33mBFxlMz7eugZV5Zv81g9fRwDg8Z2bU
W+63X7CZ2dkHPqDdrBBwZL5n7r3DmD2yMTBGZ9iIXepGSNekjbN9AcbzZFdwUkxxU7j9FgZHlGQO
X3F/GPIb22wvloVzuja612WBXDHLlBNl6T8N7vAcG9ZtvZoRDVaiNMmv58k4STHfCoToU02ibusZ
NB2W1YDKsNi3WK4R/VxcbFm1Q9T+1aRjt1dg1PIuRTKzAZlhHKo6w97iGuxf+qRGWuzWRkJqScVe
FhXs4e75Px52OCsT4R+GLsIl9OmY5Nx9iMI4q8L/ZejiU/SYac8fIWe8cM1Pz8vUAzAfa1LWAM+v
TL9qbiYll3vWp+RhTH3vyQI6f9vGaA6bDnvSq8iH8jP4eVXy9a2Z1/fHW9+kZH2n6IWN8VTwnlk/
b9z67jHYzh+x3jNAUbya/fqOivVtndf3tljf4PjnZZ6k0131RW5cyZh3fV7femImNZc6JXdluTS/
Sny6h7EfkatiGYsTTV/ztrLa+A4Klr2v17XFWleZZV1vZMzKY2pSQo07Ok+BN7MuWXT1gb9M9KOZ
qe7RVF15FrbfXtVLCypl4TYWriudDVj5EK+rn7+ug966IlKYYP3GGCuP7axTPLsYomsgTPnPYtqv
66qBeX9X/iy2PQ3XxzkXyXtVc86ozRmmUUadWeLY+WVwEi4M48jyTXCFavR5TO7dUFlfcWhMOzh7
kVNnbPI/mwBuSuswrjtDt+4R8bpbqHXfyNJw/mOue0m77irMc9TFWnca42fT4bepTni4wl2z7kli
3Z26dZ+Kg4Jsz6Su1bqHJetuZrGtwRdC4hBLt3wzJDwLXBrtpsHFdxnBor8CiqCCALe8/TJ7AUOt
srfntzGcqEyYHZHta8kAKufZ3AFJAN5UcoBjBm5vYMvTfFhUN0mSpIjAdnIDKI3/XzT7mkvb0TfA
GkVuG8Qfbun16qiECR3fJOS57zwzaLep/vkXHXxCUVAKiEZTDH+bh6lKkgj6cnGnqsz/EI1tn8uM
ReLgj4L7KtZwTgqlNiguDXw3/3TM+h7hl8xebdpes09ih3MJtwWICQZi3FD6AA410iB5HnSzpnlI
uG0eR8N9a0EhoXsP3CQWzpUk0S5zAfga3N0uNOKnLGueCo3l0wDGtQU0WN6MZqV3ggv7by4xL4ag
wsWB27fravd5ADqDYm/jzy3hWQwa8HFKauhBjL5xLZBjd2z0HW7qPH0KTHxtvu6yq8T3n1IrexLI
rxRAhjkmS47ZfWleSZj8O4w+U7L3p4FDjyYzOTj+e2qZzEooT5sx1UVFsyScivN+BzvsGtXK3Iwl
f33kwYiyYHjFyKCuKs909hCrqHnBbnZoZlQVawhLAhQuIonqIwKmKI0Yp/cMUxmrmO1H0Zv3nAup
3vUn9A6LBLWa1oqj6nE0aq5jokgObt8PAvtcrq6ToE62RS7VQYOrJMVhWQdQtfVeQKDfCHfo9oPN
u0ZHNTlnqow2hpzxi0zgeuiXOs1Wnr6mS/XuWQUnCK9uMcsJfShD+pjjBb3bbdGXkZmmqLXoL9Q1
2LIZUHRkolNFOvNogiSUw9GiNrnO33l0pmAq4sQ0J1z5ExGri4o1v+F5RZ2t94EuHJ74OO8kHVyt
uK4c97nDSXymLSU+2XUIR4Nt95eKg2+r7sqn3Mb2I4D8Ho2y+uYW8ydz/KcELhFlxGmwsQ3p3tQr
SUP5/OyKMPnu6L1Hl+3Y2puOKoSlIi8/p5+UYbyOxRt8/V8abdjXNgJSFdwtlgK4kld//G55mBGX
OQrDLkAQKxyUeHonuHTIm661h61DVQI3ES4eA21SkVJu+7hiIp8R7jpur9bXpDCcUFDzHLTF0WpZ
uADhjdyMMUn50kquZeCckchJ0zi8X1PLJqEMjgMMpGmL9Qgx0bbQUE0xKHL6BhRuLFSvGejdLYVz
VFFNOTGRqQsQ1zI9LNSRIfw7oZtEAZHTyPUYekFmqj/ggjgnafjmOcEmc6IftbuFE6/vhi6u7sAz
TZ8x688Z/Tw4TuuJaljPVs16ynLW8xZMFE5e6xmM8uYAZB8yc/xzOmPFdZ/FemRr18Nbz0/8/4pA
9f8dFxyVyUVP+fchwA8f2Uenk4/qH1Wsv33U3zDAAq3KD9ALHOefRCw//MsViFs+2tHf+cB/E7Gg
AFuWjSci9O0VAb6igzv818m//Ffb+ct0OSKHHi5UTkDefwoDLHz7nw5UgWtBxAhMoE4rSSkAMsef
/wNFSZkQsCtDd3uTZjfu6fHUxb/sglY3LCVkAishaRPuwNhTvJ5liuEtXaAV+cicAX9LpdqGuIQ4
AzJy9qMDfMNnJYcFM9ckhQJ8VYjOo1c1VBCXdn8dlpAig8yhgagJiJXMrQOXcBjqhUJgz+COmrrx
r74dWzZLWgpO7Kg1Vs++JM7tz1n+BpNuIiTrTBN1uGOmyPBSw9NBZiEzPBH8+4RlSvgmgOk30e7I
jd1a6JcUqAc1rJ2Q5XoH5yR/YEFuvgZkhY+Zu2P5bBax/0nBQ/VqU86BzcJes1WlFyfJXtJo8g3g
J3sBZQiHFILmwHlohMN9CKhtfKQorD+ks8eMBTGpf2MXYGte5ukNktcE264y6xuqvVqKDiorW1kM
emGCbtt4/ii0cBasgRIX51CmqB6MD4Hqycqpb8vWatA6LMC/NZ4K+WFWAqBTqtYU2pg3+PUbl4ms
71qrgGVhvdVjsraRABO86jqn0HzSgSmVEYQDB6Jh7qpDRzEetGPgLdxgKk7wvc6wQWjd8Q3kBTkf
rMflvsFM8unoPqfqwK3virR1vxPLmp7D3qPIknA8FaLj1FRYBKCpbJyaYui4GOtL2VXFYVg4Jkec
hQK5qeYGdwp+Bu+S9FJfmqbO5bZZwpSQ1uKqB8unUWfHVzBdBuKqd8xDknvaGLJ2H886PCZE1A6O
OcnXjJGRR08IV06BftLTAC6CfnnhZDcwvrVGy4iwgRnWvoe8YB+xxmUfXjdwxgkVbXLQM2qa17zW
BGE6WyS0kJzMp65ZMYsxuFhCF27WDFDDOlrt9UwyMQpn0V16ZI+F0P04vWW+FtecXdHb0rCN+92g
47LmgZ2pYwcnhNyE1bByDmOpIDbGI8aknW5KzAYm6IeDm0FC7ErXvu+7UTznsBk2If04Q2RUFIlF
4VAudwSZneJhIsNHh1/nHNPGd+DDLJpaDjPhkIA/HwefJaq3yu7RtAKiZ0g9rf9VazPYWtT7GABE
HE2iZfbdCDNqumk9tJmwUv5bKDNqTkqLYA/WDiCL23ro8b44tV0gnNrtSTiTRn5pk35vKrPXjCgN
kthq1PLBBW7So9llpMbHtHnBOyk+/UG452Ac1sAU3YGM1eY8QkR96WFus0s7I6qjttyPwEt95A9X
Kn9XFmOBL2kq+tumQk4hn9C7V+3gcmNdCBdme6et+1cC191nkknBiDKYyUO0rAPZ3s4Xbv7k3WYP
l5nJv0w0l5q12M+D5NzQleRFKg2QngB+WEQg/BBL8+T10tylOagIggL1iPg3re3ktd1qCtFISYD1
FLzmCSg4wbEwzKm344H9UK6RfuRGbUBACZPie25ASGahdK4r3nAyCfQ0fbW+r25WHvRhMpHdaCtA
zrBjx/1q+zK7FTPn+PO0+Gl7I3s1vBPecjCiu11kmSq8FlYmn3missgvQ57KiuqPPZvJ/Jb3c3HT
kGUe8RY3kGVpprcPjFkq5g3B8JW1LpgrQnPRSkZgMIwiDz6LlpIzc7TBv5aFvzyy2Hic6EKaPEVm
iBsbVh3/QNAAVJZ1/ppCfmYKoEWA/78o4R2ZU3+TkzP402NU6sCGMvlGy2uQzHm/IWDa6ls7Teiw
tqe2eRAWq+MFHgrDnZ7iBUyUQwe6EgoAr9noenjrdLU4wN2DWR+DWHkUsliFtQVFs2bdeFPcrtPV
rstUckaDf6fOqjw6RWpvtF33dGH29SMRA5CpoEE2wJCNR5flrIxGtwkogswxd8HfLOxdPy/Dhwcd
yj+mk1PdhTmD4A2wl+FkVZQDBlwmECFI4OwsGtZIpDqqOrZA59JH0y0nj78bp5em8xdz0yeUlwJc
dE75BAJnQ66hZjki6f/dx3Vwq6AnvRvGUN7ZHGH3DtT2SyGpPrsrUQpYUGzpcd72xuo9gzh7pEpj
ciIQW+m3j0ocJWmrxI4sWDjRflWMwZM0+uHPhDpYbr2ybN69Fh/YBvQSTTgUwHI9MEoFCXCKgRdL
RR6oGJqiZvg3k3nw1tRcOywmw8hYDltmGqxarmH5Lx30MzbuPD6ai2nu7TJkpBXG42MeBqBwDds+
yn5InlTZY4uzuAvXMQH6ONf9G1rgSD6+VDjmUA3oD13fQ3x1RVBdQ4lxbjWYpp4eva3jNy9KEnKJ
1zrSJKOYFDNyfMYKwul+6tzvaS0ylTTdgwqrqc8b6hktNn3PKxCrcRP89qb0U0vXOFhpQYIrliW9
hh03SAw2k/uifxpVVc1KvEnAl+GfU4xMTsyUuA4TzczqE+AnNG/P4KYQOejBeLyLGRqsDMAp7qdW
tNNmSsQ3YRkSbLalrQuxA4O0GdVb3nHMCzHdLDw+3zHpZhWN8GIjNykILpprJ62rM64EzF6OucyM
nb121/YJ/SX9hJUm4IXowFik2UmBUNhR/Bg85Fz49t6AHyIewvyrFKn9R6SxfiuE022nZe4+jcaB
5LD4bkoen15RBoSxfxP43I2qcMSAn/9U85rtWtM7Z4qWOjdJGSTG45CqSPyU/NpNiozXkJdgtsMD
g7+j5kqyk3Drrd2wFjPUqeHcNBZaRlRMDhViMHFpdAiSPDuFi9P9Ju9jb0rC3Tw7azdEWXYhk4bQ
HIK9M5nidvlhyQLRgMOx1OG1+cObRaJNPkscuVfgSYgnxEOiP2v4GBxUQtqazR907exqMLYQFhZW
CxkvwaHyV9ytNnvOoZIJ1qH8oeLm/JR/WbBJnA1u94BkweRf5WUbR7WtBPc36MYXDlHo4Hlo2V9d
M7evvdLJVVECIdlWtiDTwKY0UUC+onyLsDUN4lYr5pdrYHbb/8B/Hd/T25qZzrK1ct3iK1oZwl5r
ETPtWez2I7kTdr8laAq21RVAbK8sYq/gNY2mUIhtybUacv+iLo7vrJlLkSpapoLgNRtB9B2pAmju
BxQStRU/SGRc6xwKUhXM6W0LBOfXhMkVr7vdcX7xw+ae4JT/EHdkrqGlwcnbyGEhp8EMi+dk8EK+
Z4fZxX7osm27wpyZxkBWNjiY3tNqMZ4BawF/jn9A0Czj3iUfORWzZCRzfaBxOsdykKwwaell6rfd
lnb6kP+Ap+X4A6H+AVLHkL4+OCjED/MwzaQ267ozN0TM8Chw45DlLgfeD7K8yRhVskDDwY5XJDZl
ENCxaTbTt72iBL3qh2HHK9D+BjpuPYz5kHRba+VsJytx227M8GKvFG57CMPfvTOYz7MhRqgn0Loh
w2AmZ5Sx3I8q60kaWhwX3EZjfGW4lh0I80L/HEtTnMxKzi8qnSGI9SsunFTe2uCXu2SAZWFm+UHp
FDHW/aGPE8aqC07KZu6eTKPgFNOlzOEhyK4g82BlmqshcU40mNG32pg5IQ0/YXfbuEnSzAeiZDK9
WlZmute7c3PqXQuyeprhZdlSxhz+Gaqh/MLALJqIVEhl7zruUhc3m5kD+mAjWwsYEKUpiOVt4l5R
sNZSaoaHLtt7yzjidbAqFRofqu2C44y5FUBHuNASekqqjFEAeDauO1vX9JV4babREtBqOJcccJbY
RIHzyVrxZXGPUxon3QwZaE9ohTH+VFBFZrvKOEwV6UaH92ne9YtBeW7ia6wkveMOzs1SSw6sjqLz
zhTek8l+s1xh04vv85AzASxTa9VfVs+CfQ3vzIjXnERf7EohGdhh3/SJGVLSyU2lILs3pxB4m6b5
lSyQAW5rhXt9a1t16d6g3FfxlWcR870VY9D7t34a4+XPOgIp0+BV9zrIG0aNHmeSpxlwAnxOzAQO
oNYFtodHkjJ7TcEZlkccQPMMG5Dipvdymc2PMM1yKEIzaM333JdVTFu0xCohC+3EtDWmo01KaOg6
jpntREWKZc8pAVpJRuHd8YdOM7Zuxz5q4tre0hA+h9ds3814zIXVX5FQsdqd7XXWUQF0OGiJ54tj
IOnNpCJNdJpTPzP3SVs7Aum8B7WpyG8F0VJaStNGZ3f7xkhApmlq2Q+0ZYTxFfPjqd/XmWDvCqsY
QbFqaLeyN6m2MXSzM9AJbYDh6N6mnOM2Qf65/FU4GIBgQCbegr1p1KK+gh0/h8dYhEBrtVcGyYVN
iviuO620qt4cx+thdARU+TTthvIZzoqbfTKLHtS97DXChV+vSl4Tp1ztOn+AbBCGbxmHuxVEr8FT
dHw7LijBdF6OlhTBgMHCXfD2g89zN4sR6H1g4/jfLKI1zmmZv4WZEXMix3R6l+Q1e6Ib1++GM5H2
wr92l3USWlNjQv9IcyyDSBT0TCzOkB1AXDCGJdfRnG1dsk1ViRH/WVLOeijDGTcjRgwg5XWRzF9A
chzn1KHAc2A1h+6qaYb+Ea6JH/U+hXtcL+fyNOC6cDejWzz0smNtqsIuP4NwhevLqCRtKDyePT+C
Tz98doFAELRMQaUtKnPJ6JWrcAGVBTJF1FGcfAFmJ/l9CIoDN0UqrdvZJ1j8KzQr0rp8NAq/C3XV
2MKSxFGpymSyIt3CrZ1kFXw3LP3pbmpwhHSWy40pp4Xpo6SX4mSA5o4KP4ivg7ro+ohIrcXwVHpw
xpYSc6JXSOeBQLR7SOusPGX2bC6fjsWPwx/99sxzqZ/4yYdHat9w/mnmp2o3gjGoCWF+yM6Ul3lO
cSc1UmcHK7NA+TlWcOorGlKiXlgF/aVDUDNmL8UK7LHMcjsOHtWOIKGM4ibs+4Z1yRElHY58Y5cG
2OFZ+AtBNGpgmS1VIh7h/XDZ365N1M2W8BvNlUuamQT3e5q6KfoJ/d3/2+nmisX/UvXcAmDU3X//
b3/D5G8/9Mc//QeBxVTP9/3vdn743WHa+nuB1/o3/0//8L/8/vks/zsQfchI7z8aXP76+E7mf5tE
/68f+q/TS2H/xaLp+oFl2iYKlcAF/z9LzExiVqbpCtCMlg0I/u8WfP8vwQcwvXShedNRxxfy9+ml
9ZcZ+Ew2mZLQleaE4j9lwbfXT/UPejA4esv0fcu3gY1Q3+islYv/OL5MLTK1S750ewYHibvFRpgc
2GiTW8PIzAvNEtaL4KZMbnUJiuvUmSFmiKrWJzGm2WPl2hyz4Dwxzxtn9xvSQfi0VDqsQYFK27+m
HrZPLlKqeCZfqcSFQYSNJ9i2txOcmU1nFg+N60zPAUaxSCf9cAvL8UKybzI2dTU+pZQukkeuqu+e
Jrbb1iyJvLm1uAL/mJxarjB35L1wJjqBN6moK3QJCyiBvs3JWR8S5F4zqrgkn4UJKDpqezHfh308
0G+Tkla5YuV8qCZiwg9D2Cnn5CdL+VibYhlIfbfDI5sIhTO4xOHuhCbbMFqUnQwnW7JfYyCL628D
lzk9T00VUxZWmlJf91MVhldDbBNPmkfXbu/nOa+/3dbF70VBaz5cQAGG3wrK4Ce4CGUdbbLvJXZx
0qcyG3H9Mxdj4TH83C5vPUys49VieAPewUCrmwn83zv1RNYThwvgJ20s7m139g5jxvmFjINxVRsw
+Q+0sfmfvHjucAJGOqPjxm3Dkp/4EFKSiRJdHxjpnlEJDtnYWnMB4Ww+uQhsb33hym/E0PZrMrvg
pgzSOdh1oqFYNxklLPKyHs+BZYNTl/HIfMdrywM/FaAH2gNZCxpjYDKZ1jDOhnyMpKXltVMYZf6+
8HA80CpncAU3K/PKaMGkKSKvkV6YNmzqeCagADohjeq+bFmFfRqjHECBnsvE95BVY3BFdFdeu1X+
hXMakEzFFIeRN3LkksrsUXSawwcQFYYvfN+sfT5NARS8R9Kd1IepcI92ae/8kUUpXlyW3HXnQVl/
T2ruRGkN6SPoqQWwlIndZjCO9B7IbVhZ6YH6TJ1sdRmmZ1+XD7WTpdNmRTN63uzdB4EXvrVtkYJB
STt/V8xLcmh0IL64DPgZnc1G8Tq0U0+6w/ZIkUCrmmQUuOTeOTJUsD6LrJgEYKQiq6/wshuHQCzN
tJkLCaUJRhotyNWDyEamb0hXDaNQvH/1yg5x3eGN0QZu4nrgeQ9H4cEeIHcp9oJhnHM0Y+rf6dPr
k5feJIbByCMJCjZ6TlFku40Rj1agQfyMJCxEpEozrU6WjdNlU4dD8tqNKYIuzWNa7ZUTDNN1M0sj
3AI9b4BncatM9m7u202UGKN1y3YLX6L2W//NIcFNlZWQjFhxVfTuC3mcxrjx3C5p9/SvMSGd0Fs8
YPAdUAsmwCQpxnmazW028YsmwYDVn3fdltV0w4BK9r+wZIyg2pvMpFEw5G89JIJLEHCm2BpfNE8X
x+sAtsg+loZQ4BgTs444tDFsqZdREV5I9RMSKNwY4u/NY96pWexSQ5PhHAdYakOhyIE7Xs11eya6
emn5QvEuqSz/jT2L0SJg2Lbe1Jygza0E6rMOIJeKkLcw0HCoWYuHLcOdPwjsDeXQzghNKavz7sST
OfUbEHIBPdOtiyOM2ueq8rxv35gqm4NEALm0h0r66YQFdRllAtIyTrwJcyt/xCIx2eCuXeu5YXwE
uii3yCisTdSIC42MElEHEWNiTt0LXZYcr70S6ST/6bBmgQywC1DVpyK+RQIOP43XeQKweFNMOQP+
rGqxoSMO/xpyr3pRsAPKDQDu+aYfKdGuWiecNm2NP4J1SBrbqcPuApB2/DWEDV5SQ9BuJtZa7gyL
171HMJlxT2U/lEOV0CalvYwGu7XRO25sJk51QYmH1czpWWvI/57RNk9WZTsvJVGcvdVStLOs/eBE
sSQl3GyR5W4yTPNzkrjCHcOeMghlYCt2Uiz9wZx70O8KlEBldPiFELqYbblVfWto1X+YzL7f09Fy
L7RJ5ye/H7K92Q7xA7tlKg4N06YnhRnvs9Gp+w2GfHzCAUNXvVc9hixLXMybIOx2yaAecX9jEuiW
pOYYnLPyMquSR6ukfr3sBu9AT16WRh5MESfysjBN9jAK6ULsCoy+AVODbb+2vOdr3zvVCD2OQWZs
JnizY7ZWwgdBSd+i8kx7PJp27zCeLMS2sAt1LMsBq1qbjTdex6RrgwPeyvazxTesTWn95iZoXPdx
5iSRXUmrvuYOtNQcEBf13HC8Bv8ywe/aVEPtnogfD2d6TaXecjN1sY8yuXv3yA7cD/0M8qSBpUUw
HpsmoKYvtub2mhtqh+HcIys9TlMN7DaXZyIgyFnNzELlOVP7UAJxphDPHcJbvhb9Xo6heUGcwjDQ
j2p5sEHxnLj8MVSIfeLyQfbbFzYg5GDJdiP5O33Db696Y8qKZd/TxiFrtXdQtktrk6q/AR0ud0m4
iBtOLoA6wqp8nZmLRE1opMmpUhA/K6tvMWopKIqkX52tZab+vVlbGI/LHr6o1cNJeqy4CFxxf6cG
wqp4wKTbM5rCs1+S5muJ0ZJ7prTYbwb3vRP1cE9MwXdOXlLlrwoAvLxlFFfwMmZu9anILnzFDjxK
RGDVrnpiPBMjBBOS7SF5BzTAIieyvhTBVS00k+DYW+fBc+JR5clnYzHDXRsM21alhJooB0uweGvv
3s1sFXljx8rML9e6wE3HY4QhjMEqH12iRMmm2dTMfQ/zMuo/NAwp+u8G/tt0kv6PN+rhRGVifc39
JbjyjLS+5xoBirQLZioaPXL8z0XVVIekKTswYlTRmD6+aEAnfCLEueIlswq8QqHfsdnM/HBgIJHy
TQCQ8oeh4ix4bAk14grDJvhB4IXkOiUG8wdUr/gLqRKOUNcNleSNdSHF29Oc5HcWlS9nfvEEkmw+
nKRIWRPKL4MOEzqNfg8cTBO67SUxLDeF8bZFMcApxueUBzvM1HuYg7iKPCyHe6h+QNvifGA24zX1
G3F2X0bp3FYf+ex5ZzeO4w+n77vdEAPA4IBnxGepGgt92vLyU8CXtJOsmStrylQvWsjma6Ebhxi/
CrwbXLEIoCFTVjpL5+m67erqSYX9GhFrlXejBGW5pMjS7lThNnd2NordHav+vG2J/S1HDjsKudiM
5TOTtXXdgcPvdjZdu0hXOJLbmEMTFvsMYcaZ5uZdcKEDbWyEYAfKxnO3dT/1H1ornP5J1ingQ3l+
66R26xK0KWHzJLNLKNBCSvilW6sn2I617lkuOnwK0ZGhO/LJ0NcTE+DGBIRuCib31QwxPz/mUx/e
NW4C84EFRnxrzpa0hkwke/YdO/Mdo0EA4WS/zTVzQdpTOcaaAEogHUh+Zkdw78PB01h2Np7VBvfp
khkBCJvRfvTZdZgSy/6CKJs+OrMt7sZZcm5LvKa7L2ztDXszXFCfN6NhQi/R4DHhHEv/cfBDwgo4
njnkiXy+9fCyfdEPwzWdURU7kaMwJaaGh6l48IxvVrxsz/7s76kozH4H80TtVpl4z+GEBWjfmYb/
QL7Of1dLFqRRmDgUoqLhgvDlSo3hTgVveTAsd6XZGp9KlNmjOSctmc9Ol+dqmIM/cDrS+nqR3UoX
77zy22EURL4N4HqBDntGzoSBTs2XSakrRbrV3qdVeEaEZxU6NiQOjsx8jWdfQtEgGVF3B1N7+lwm
bRgx1TYpsfFqyAxzz1wb1ExxZebgUwDHD/MLHU56B4EKWlQwB02wTcqU7K+l6msNa5pqeJmiHFYy
PVPCaJ6ssn+dTF2uqlJK0SIdYGllN++xMtfLlF9fTYkjThhwWXlc6cLHCzSebBuSUzqPQE5YvDaO
kVzsnBmv2zKs5imk/rML/yhAc53vtKdJxhLvqS72rpFMBzEmilLIOf4dG3V3S1aR9Q8iIvDJiduh
od2DKnVyGDkiMMGcSFDKUKm7aaWBoEJ1eN6N6mh1Y35uZNB/AT2p7wMDyDNxS45GxRSoJ5e9b++L
sSO6Fcp3jjPw8sPkIa1Ymrs1oAdCNmYHByUZDCo+QyxKD3WI+jzJvrvubclObQzLdkxhvMS+PllK
QLpgJ86pvR31d96QriRJWlAQkCXiPcMkK5nV+Ppq5AEhcDe357YBEOqqPLti8DV8LKL5XmrSY5CP
43U75TZWJ1V88ue2vZoNJq9cgeQegDO3WjRk8xcGwGqXBJ4TNZSzbFo52PuU8tt7XZqziJppas84
68GA10l9mg3aCLYCa8att3gyKozMv3ZU/MRjf+/TNzygpTrL6N65qMsktIolAvMBAcfCcMGvc4UB
SkBfDf7pXwnVtOBzgVlc6MtJXkywoRG3T3hC4RqYMPX0kdb5dOcvNqKQSb0wLgA/OPo2RRYqRuI9
mKiTLG/ZtLz5tnmb1117m5cuMwJifb3ltJwA+wqzQ+H0qJXoUFXuea/drIbPeul+lUnRnLsiK7eN
ZSI/pKUjP+0wNj8lxw0qk+jJI1S/mqENwtQq7G6ygklkmfBvO6Lx0CeolmgKuWYDWsMjKF7aN8oP
xicdcDafO8JAMFAM/Ube07vSlj3sqlWvBRbWfSL5yX2xqrnequvGkpoGU2hzP7qC3W3Vf51VCRYV
zi3KhCUC8fAjFnMagcgyEfAsf8RkgsDlrjEaJGaV9xXRbZQ7tnCrQbPg1sZt2IACxlQbxm6yKtYB
/I3gKUD6JoFqVxU3E20nkV6V7tamACfKV/07W9LqfZIt44nesQtG8Agd8q7MavNCo4Di+J2Xdwo/
9LsNN/XWBsz63WU/yXQEnGxT83s49dxuMDAUXCSCZUovObIH2ThR2+kj+lRVHfHRiF0tUTF2YtX7
hwTeZsAE6AQxDztAtjoDrLyw/eM6IPnAkYY2+mMicCEPIcD8mAs0ZLJHa3Uc6NV78D+4O5PdyJF0
zb5Ko/dMkEajkbboWvjsLrmk0KzYEAopxHme+fR9qMpGRyrzZuL24gK3C1UJFKoyFfKBNP7/+c7H
/aW8C1O3fRULmWA0MAqgSXiTF2rhE2BIF5bBXKgGnusAHJQP61At1EPzCUAE40S4kIofwAgaB1l+
tp/AhP0JT3hDlnuPaKqAKlhHA1g0frocGYPLYSh30YBzYpW0GhzDb0zQjHihNMqF1/Bm6T+ZI6KZ
Ffwpq/GkdVmF5FF9YoID8AFcDhAkyjE9GXB52T0dKfNd3i6cSDYy7yT2vPAj84KSRAOE3sRUgjic
+6KzKgPK5/FtbzOcY9o9RzAptuXMZx466+/6k1kZBnjUJGiGNY9mxn3pIbOn/oQspaazIlzQF75y
UDBc8iFiqgWOsRZMJo0774nJDPoV7kecpEFp8iQtrxwSC2+QQQFfpgW6GRf8xlpAnPiTyak8sCzG
DzW8joVNkdmOzmqHEx8DAxC1he9R5bAUEC7YD021EEDDv2mgtGoSigvKlp1Fk0MMlZ/0kN2wPLtI
ww7aKpIjX/eG7TmKDDNr7UPzSSFln0RST6hrUydO64JsgyzZfrUclZtiyd40aXqfMA501v6COuWf
1FOUkTajhYMPJmCUTgjuOZl8DQz0DDXx2XGdLAgV9RsecwGHHZ0MM6yHulQ/ktQqn1Rmec80XbLI
C+rQuCm8pSujkdIjEmo3086bAO7R6HT1kZN4uuvnEl+AP3V40LK8Mqt1Gbelt3JCL/guKzbBORzK
FbZaVJfiEyFr3Q7VeOQ5b+oTMWPjSBmMTBNEn5x5nuPGaOq9pVi9xAujlkHd40dsMSd8Imy5kVaH
wbermgw3zx5roQOEl1at8kt2CdDizScal9mJpEvh38icyAzo6uGTq4s/GbuOGpQ9WwY5Iv30x5de
LTweHRHNI2ZYKD3VEbNcDy5RHpqE27kkMD0xQOsTTsldGlr3nushaJatpzgnLDCg+gQDAwdGUDTd
zNziEx2cAgssgPBZWxOQhC6MP0FDPp7K2yT/JhCRQAbP0cIlUvSoTgxE3GiXe3a+Z1qbvmNSE2fW
IxSWI6AFSMsat6ZN8BN/1E78VA0mRe1QlDh1h09WMjFctsjodrG9gi8R/v9ELBEWY8zr+kDfgzbw
NI+byUQWb8VQ40PLHATdiKAzwmMRF5gWuqomcTILm3BV5/vA071NffdCgUbx6L7VTlc/pEoQFUui
jA91IhjpsT906QdmzRssdQ7wpQlKW0JPn9wp+JF7MYqaWWmkY+8qpsmo4TxRV1ywP9lV8ilwrEku
A5PmgoVvTf/NumIJM2kE7LGzZUSTGdIm44tCKraBnuhe+CbBzdYmCG3AWrm7LD/x2sFwbb0xbNBb
34ricDd+Erk+9WEVqteK68r4Se7CE8vTrIuZvEYHc4Ts0GABaSgYYKmScmsI+hNXPfmlSxozgZt5
ijSQlbHQJT5LYVG8FWE0fxOVn5R7j5NRzSOTbjaVyXd+2y9Q8jAaPsRdG8/byoyXNvUkY/wFFkj/
OldVmGYPutkoBrO7nD6ZZ6PiLrNOP1noqDYZJjWuWohGMKerBns6U+YFpI7Yq+YAEgtf7bHpVxTM
L9y1OQQMi8gmUyJtLGR2Q+2Iv0sz66NPDA/cH91P5MToNaVRtCMUUtwmfI3TkrAfIQfQOS6bVGW0
lfEt4FHDexTRDPWjeuIaXgzJ7A3wrzse62X0IWU+fU85kNG+EAF+MMWV0Fm5U5F1dwFBUm86uB4L
hF2YjO5jGXXk1KY+eIyzkJN07pXxTVqlzyX1OVuISzc5xtxEtn4n2lVQtb2/6fAEvbLQMd6LqJzu
41R3xiYsRrSbLpfd6SLlVojC1ksBzIUevUM1LLNsyMM3DnP1DzP2socZOpk+rXIg58H5/WRYLJvY
WS6/Uet3NjLPhXMJU/nTMqphx9TC3o0MFAipYdmLbae7aUwI7w3cnI0T3R3mg80HF2PqUN7688g3
AAU0fU8iEHc1FQIseGavvU88THwXYdWhimO+Euzmwe1DTJwNkyigbVovfNnROerx8SV3Qz5+wQLC
Ib5i2JDAh80gVpes+7U6NKNjs54JW48NeyKsYzuFd2ElFQSWNb2atFjQc1VsShOq26vmdKA+Ebt+
oSvxzJlsdLi3xaG6S3g0QSCLuHQVIbm5r4Xl3XMWxfdr6pBkHPk6PPdFUlXUNZnFhxacnNm8MAdY
e42Z/QQx8pK1Z8cpS/2RYX/VRdV6FshrZcaFnhNlrbL9f+3q9dfN67/+G/nRbGVZbEz/42DJ08+m
/R8rbN+v6a/Rkt//vt/taOZvpiKULk3X/WNPuOf85gmNB83R7Gj5KwGS/7OddX8TtomByGSNwwLP
/iVbYv3mSJNdiMui14O+EP+Z7eyyev3FjyaVZr8rlCa0arnI1hCx/bqadaVBmsFT3h5yPAGR4pGM
mQfJqojHtjafjr+8PDd/bgS3vvaB8/OkZQmccLwiml/kjz8Pzsy3tandvQUUsg9EEv9c9jPfeisv
t3QwDgitZrRlHf8vWjlpHdX0sjjd41z7dNr0wn5IenDvf2gqt7544pbXQQrP9DDOCKEdd0ng/JKw
0U0TQXVl3n4Q6fc2589hDYbHE4pzEK2kwWmmhDy1yThgbt2E09mpMU/8/YvDe/r1vZAcu4VpCmXZ
wvnyZ0g8OmlGTtP7kuXX3k8a/0SIsrj/+5/yF++45Fdlm2uz2LH1l2U8c0acWKhP9ohaDk4yPHlI
Nw9DBIZcYdb5hxf2L34nxwZB4B13hOSD9MfXtRa1ZY6xp/ea2OiOB0ws7h0E1t//Tnwpv75yMKL0
zGsFaeCJL58qQVFbNTi+u6dljV8jmYBU0u6WkM7b3/+gv3jxNDkwcAl+H099DWI5xswrunx8fWZk
q8yIP1ArVOuEB1I7Tq7+H34Ya3TGF1D2jvnltxo7WRRuI919wYMbOkxUZGFPi1A2K6yfNGX8/Y8T
y3vx5VpA5NKzbckVQdrel/cqspCz127g7mGpsDQz47gcXN+8Ta1QHWGckk3J2GkXtgMiwiJmoW9m
/g+1WD2GfKxuY+q6Ec9mRD4THHtEmqtyrWwv3Ti4gW/IAmTlBlO0BrSM8wisMPNaFnvU266KZa9b
trRhdhyUWEbE6ludZfW3v/8d/+p7DvEP3IJU2Pvz53EArB6cKXL3QR6KY8z24zj1DhxU7zwYUw6t
5zNAr4MP1w7LrRSJuIdC8P7hpf6rz6vmyi0Bb0zHll9e6TqeJCdE/CNp2snjKKOr3KSAmuGsWv/9
L/znn6RNbjy28GwPK8PX9zQsQyQiKFj2rh9l67Hz0DwX2XcalcX273+Spew/fzs0ABIQki0lSPfn
//7LRbTKLNtALkd2RPdiy4YmYi0jxhtBPPtWsaalf7y9D5KRhlOwxGRDphgyWOFkZ2uKC4kUYbrH
VQawjdVD3aHzdl6dvvIOAy3q7F7hJ+9008rLlqjvRcLgeQ8Rwbq4tLp43KXU26wZMxC3psn1aBIG
O5ShVDtd5xP29qZiGVLRQ4/qCsFVZ6YWsYTC8fdDC0sQZBapxjB2rnPHwogISai2QT+KTY9n7Jop
QvzK3Dw7sl/EmZWyVZn0UkvcV+4xAb54juxZXg/osjF1EhEyfM7Ljq7VyTOFf7biaaOZAm5Tv8RN
Qu3LugH9QYfZlfcAPCWRxrxEDmeSV6esGoncVDGoZL23dRn873KdwymabXxnsHm/9swMcdzolgPW
8ZE97zjY1XM59v65RplHmIl6mz6rvDc1sBdkDGK/JEb8lKc81qO0KRSWmvra1rV95WYhj1ERxkMj
Q5Zqgauz/RC3hNYKhu+h8i5MaTfXc88TbcDT276p6mTPr1PS48ijs59S/tPMrMhOfRGNJjqhdLrU
6AdwZrMn6zYdnimX7EAV7dNq6H9yZOI1QdiBATWnsQwW+apqfZbEji26Y1XI5slq8v7Rkcy/wPQ5
ttOpBGvOsW1qqTXQ7QMPIPLYoUnA2VQZ61o5kjS2ogy5Mn1m2wGWsHU1c+tnumWR6olTWXSbpEcc
R5iqZg7A+y2aZU3eG43zShptYJarcVyYvRVtZek4L2EppgtXC/lC8yl+PA+d0TXPKSaN8swsiFl1
ZuPR+dKMXDnpaidIz+75cWicNn207TRf9aYZv1XOkrF3fYdPvO7j5i6VHIQ2GWrPbcgR55Q19Tq1
pPvBCo8NrtlFebAxYZzjvSdK1G5xQjeeSLLqNKtWFZsoZY3HYMLEtDWqvZg54Ky4HmQ/sLNARkHF
GRstqWysqW9f2UHSHXqfBlQ1s6ZZxTLQ+GmMuV6z4ck22Nevkm4E7bBB53moZHeOeLRm4x96Lfpo
4KJQg9lF86UYKMcBsj+FmkVqQKDrjk0oK7lo2o2lG94LU4/bKCopKebPhtSiCHa6YlnrOWbG+zsC
9dNo1K3obuGPGqYdjYtFYD32NmZKe6p+FhYNE1FXR5xPq+q79rWyOKDaFfWHNXIAA1M3MxGevOmk
HvaGp+SmSiHFE1Z1Z5QEeh2yWIW2xyNILU+wlDlmrxCIPOfREnvwoNre8eA7i+VvGIh5mHQM8xbf
+a4NFREZ6XaY+nBvjNyFOYrWb72Ttd/gSKaDHgxMwk3nbSsRWDtk4cAzQvMEywFxnC15QbVxvB2X
SGPdxcg68WkznbtoCgC3dUZC4GfTBCyUYv8hmHrGqrWFgpeI5EVdt/o18pT9IGan3dJqYuNlZ3XM
qbwm0Gg6xSGkSXRLcTVfBY/isyhZGlFLDseZcMKLoOyfPa9uTl5hJmvuemQsuq4jLTfnZ0R+aMJL
OcybIo8kecyaYDGtFosHNi42Y8bB23bmq8ZGO9PH7nyH8aA5k0KJfowRV1zToBWN23y0B0UZb5q+
GKCVkc2WgRmQ+UHSpio5U8I2GZt8cudzoOPnTmnGJg1+DIj4Zh0gPU6zW5MsM/b9TB0HDI5s0WlY
n7HBppjk4b/U8DMfcuAzOHOUr15nWM+jruyzTJvz4MN7M9EI1uNgTnhqJ+uSUAB+UuWF6a5OWUg6
aTHsCrk0mFgUiMUW0ta5rnsyOmUe7ViK0HTYMpeKc+NjVNhmBte555A077sqRKJc8FWGct1blnK2
2HGss8zbb2VUX9pxzrrAMsr1zBV8z9Tr1VpKQEN+c5udLi3XACqyJb1BrIzpFY1GWCLXdjcQ4xo6
/zYHltu6fjBdxJ48y4JSURxxLAgpeyS91LEoRc7OqtWi4HqiVM+pvF085DAtahzUc+6G49ZKgwnV
vE+IzjMDn7xbDkO/otWifOBcNlK2GDHpVba/r6MBCJGLzRUKXyLUlaHvmBs5L7UeqPYEdMXGn6oM
AyK9CfHIPr8r3I2LR9NkK1sn/ZaykII+XT279J3kKKsCLl5PfVg3P8gi+myPXfoMjrgFR9z/OWhF
28wfk4hoUYrYo5MOeYVVK4784+ZV643NLoZbXVuOrnB8gesWYMJcfKiWNKv9HDf+Wtg6eSGQUp0Q
Ywcrq8PYYk2A6EkahLsoSqaFFeJrPLAOnX00t6l87AVdNYE2HmzC7mubm/yNghDeNbMfJ2w6LAr6
fAWNGKPlXs+urO6EMu/ciHoABCkAF7TyHVr8lqdxauQhq7ruCFkULi0mebVXDh+KvgIWDYpUQYxa
xtavCVnhukovpzYTN11Jc1NOnfVL4clmW0ln6xtTfAHWBk+KvuGDGxKq4JwIwqzM/oGBNlPlaHSG
nzW4CYJtM882cd3MeICR9aWpM+3AgQtyTkV2hP78KIQoTuPgW3e2pasdRqybqO6T0zQ7RKq1zQDU
soz+sU+S4IN6nXob8t5cVxSaHF2n8ndGruvbmezBjjLvdyjh7srKDRaSkc5P+LwisLa4Q1DZk3FA
5zCtOwJdW3bD35ACeOvGDsVu9vpxN/uOZA4qg5yGFT4J3ijMnWV3oBwinnfFGCUXBEbBb9sMwI6e
uxadhOMXbwzL0wufRg6UZS2viKYFfe/n2jrKsPDYX6uLRHbPUz0W57EYr0a2V+/gwd1lVdrlJrDS
kQJ4cdXZRbPVftO82o1y9jSW9Ee8gnvKKB5zf0qY5JOK2kJS56eC5PY2LPFoB51Cn9mM7ZV2h2Jv
chM8jGVwyqesfpAlxrQ89MSmopfsvcqHmTs3h4KViAoGnF0wbNhXMWYuVHCFtSD4ZsHirRsTWR7F
gcQpbZM4LIOM/mYM66dyyltQZNzvAqQww8BKT06/mVum4Gk3QmERQ2ZSOO973fbrVKDknUv3LGZA
HRFF0TcO9g65Qmbz0+wzO85tj9TnmD+ycI12pZuzETXfchUdusFqj2nHdsUNUchDE6HksHruwvYo
DyRm531q5IgL4OFoi9xNigAJCzXDO+kC76iwUQba6T2zeJbj6ME2PEIBIOD84yiPNSrQwVZRyLYP
ex3hU0LIXWfOW1s5/rObIUAqTb7Nw6S2M33CbVk9sOgiq9dPp9boHr1Y9DchCAQv7YtucZXYofFG
BvNR2Mk5j9RdwGSfhbx1zZb7Z5D8ZLfR7ylk7lYm3s9WsUPPKohAh14dxzqDN2CLcsEroFkvaz5B
l0QgEtwOtvdWjC6FLCJbc5daMwnv94Ses6fZfmcUl+48UWEtHOIMbRXT+c6ZCEpnTXTfFRE5+CZ/
qJnOqyrmP9VrUvrfx8K5DEnVSAFAgyiixjtRx7s8Cx9CoQ/kwO9xg70AvBxZV6ZrB/WwrRL+7AJv
mSr7YduROVq1y1pBGAh7pcP8IqzEMc+Hajeo9JaaOmehP34wdjgqvAs0nLMzRxLbVn1PCin0AWJF
f53rwLmeSrf52aapZmjmHBOwrhN0h9r1/kA6d/B/kMflwZzH/fsW4Iqr8aIsRfCs3sLZKndZI9eB
nzm7WpvpaUpSxNL+QINoOCos0pQVMbH3uk0z5jAgMMVQGvlZyHpcN/nIWaX0UcrRB7M3Ah4RYLkT
nuoNzjD8wjGybi4FSJA99hibueD95rmVhnXDvfMUtkybGmkl6u+INXYNJZF0VHP6zBKauB2faz6F
uevK1rchYmQ79p/aCZezQtubj7zvgVHSLu+m9TEMZypnZf5gthIdF1lMwN3yOSYVtyFmxgi++OEa
8kmlZksROffsqWx40+rksRR2dwMalT2ODEOpY3DSQz0E1gGVBloanxxeWRH2jfqO+Ad7Xi4pRXxy
c5O6cpfwaJUNnG3d+jswKA4RpfhNzXhYwUVfO6DHqzCzi+1MCPjDnUL7OiqIG9aEzHaTaRY78jIt
ei3znPPMskP+5Z0G6J2hU7CYor4hykhIofSq57A0WLeHfrdnxHKHZabY+WW1dvrgyuN4eN1UVFyP
XDu26ALUudCCVqh45Lk5supqkX3nVJ1RxWUqHo69vH6yE1ZnnWdjGWAZtiTPQcIGNd4Lg2SEm1Px
OdSDuUNfUJDZiIeTW1Mxq0beUmF15QH2o9tzvzWvMMMgCyiS/JTRzUvX5VblhTibU4Vdv+nic4J1
57FBH/boUdfgw+VvhMj7fZja5hPscXtgMWmAhfT1j4HP9g0LVkXdoV2yGyKwUBIh2I8AEGvwq+bK
6ZpsKxnjbNwwxIdRRWzxBk7zrFmtxn0wC1rX2OraO5NFJSZ1ZnzrFKxgcUWU3bHJoLZYcb1MFUfF
gIkX9XVhvo0qa2IfzlGo5REZwxL9COOEdC+Jze6gqtwhKqHUqazb6YXyJ9ZwNYkMvr47s7G6oy9j
m+ZyZ9jUcIM3ETo1TotJeXLdsN/kIFOfGG6f8Y5THaUPWIssiFIX/jkeOvDjJjrLsa6PqFu22ATG
neaLzrNUVl8UMf13pIg4V8JGn/XQccBF24sU2ho26DDCYzkvvrFRqH2Wts4FP4eocJSE+9kR/cFP
Bu9EuJSkSldUGxTz4w0PYHdDI2xIqRiX9Ni+j9oe6LkKvufunFLVGPpPaTS/8zhe3+qhIokT1Ea3
jowOci6p+wvDbB5YICJFVQ0MvyYx1EHhhhyHG/Le69pn5CbGJmp4o+oQO6rBbCivKRDPiLQedGZg
PsoiUpswT/CiRUldSOEHOx765FMX1BbweFE+Lcl8TBdFC+rZUSYbEnBfT7HKvzGryB9KY9DrWoe4
3SBbbqFkzRuxtGiFGPdI4dIdd5MI/aOiOu2WeZxasxYF+5cl5gh/jtctTi4GTJ17SVN0TflDlWwV
8apjP+aMRCtfQVsV2d4wqCkpKcgiJmZFpymccCQ4NeXHHq6SdZzP34dGmodgDqbnsGCPn8ZxzYRD
/XBHCnBDakbXLAiCbZMhlEptzNlJP0WXqudJy9N2fOTj9432HCwmdR5UgFI2brw+j7czur0L0fdg
BdQK0vaBc4VFJxvO/tsUm/K9R2UgTsacTPt+cInc2Gp2n618NFFAD+7obGFYoo+CD5m7tks66i6h
86f7GUs+fIBp1P7WM2iwJoxfp8+DcrqtMQ086c3tfG+KQO7LPuXuOCVyw9bkDrMx10xdg8r61N/G
njVuvMUGZuboI5OmdB78JL9I2v7KI3t9Sl1iAAXcEB9DK53P1G3rbUyxEL+FOzckKnLA7dZNi0d+
UP2QpXnxnCzXTrJzVyDgyS7GfnqJC9vapdYAQhR7bY6Mq7RPhKbFdpZugaykqPwDEon+Yaim+Y6G
wOo+Smx5NjNtYoSUIPVLd9oE0ZhCp5YYCUs9As25UYcHy58VwJ7FNTEzuf9SYo3laNbI4AN3MLbU
4VYI5EMjXqdth6LWxRlPbC/xN0nCzYCe2w40SFVNugNUKF9Vwo53eU+Se5frz1WXeURTc8cAl+Vh
ct/xUnuX3L/DZAdpfes7WOCs5FZ5GvEy8s01oUaf1JQZnIGjbmRAtIlJTr/GmUxcuzeuGLi7qwgq
okFgAgFPesdwqHPE8l7tXRLNZRSXpKlpHzMM1Otj4pQrojXJ2UH1tRghH6E44pD0FXagJivVq+JR
6qB7T6xr5DvbQSNrdee2u+WRkvbxJMPqAAJIBrrkT9WGz8PE3U843bg1rMTcM/p4nxshj/lIEKCY
B7ggwOShHfZManFPer5504i82QIMmKu8WzyiEagvKcuU3EFSnWwvulU40bZF3598EB/kIB5tPYqp
8JapTnd2m1j8GAtkOpsshnbkDI7XiJg2sigfr8QFLGS3d2G1Ci5epveuIPL2tBqWT4w/ym856b7b
YKCUz9NefM0rz3Mxo7ud1dfuNWc5nLnEVncZ376N2YufbRjUBz1bI1BsMPsrU6f+D2awnPCZl5cX
uR3gKZNc80xUBdRm7bokX/RwQYWMMyl0234k0rTGrWn5s7lRA77jfebkIddMu9QP3Eux1oPIM81y
po7H4KTwaXVv9YS1FG8uK1UI6NWMWujcOkn8kKje31qhV102gRqQuy4bFz8yvk8luvM0QsoeFvzT
u6G5dYZS7rPSMq8Zi7j8oxvN+KJhoue4lMOiUsoyDQlc0ZlQJlymQ/of2fTQJFPnG6eU/bWfphsg
tmY12DH4co7thdaTbq4fKMvWD/k4ELBrgilGqoo+beNa83OWj09zg59AolGg+y3aGA0JUa9sg3Ux
RdEpKJgJsdA5BmlkPDaDEW00pSHL2J1C03COTqU/brIslLu24KkLU31M75PmYbaXZAEJ/tlHTrCk
Y6I6g/wwW+6Kq4JYDUmBYtD5uvbaeCWbAUufZ4QQmmxVjKuisadiZxoZcxwmGuGdTV6auuiuOFJU
T+9SFJZ3qp+yYuW2yiJZloF8rhl4KLh8YJqbBljF4gJmq3szKKtDnQQ8RJKmKIuN7cv6ZNjCxBBr
TgD0HkBNFTDWNAdXPfN7zbt2ymgjqDoHN83ct/byxJLe+GZAlMOaK/t9EhWHXnhKvSlJjYo1k8Xy
wZuWi2XSLyPkxPbtD/AqwVHI8wg0sUPg9sa85MkZE/cZlsW9ZCNVnFMQgVsWn+5RCdt+MJ2AyIty
jDDmVC0HGqLTRr+gqio4yKCWPZKTaE0+24QRmPYztIO75LsV93i5Nwb+iZ8yl/ZDx1f4Eal/+ZG4
OYnIVje0ClemYMVApBI7mZbJe2U45tEfp/Fgshm5A3fzAxogjIb7TqG+T650r50yTn9QT+8vNq3g
GiZbPneG3fN03AXZa4zI+4SKhP+eD5oxRGrwwLQeM6QsuiycO104XknaVFqvTRnQt1K3PYZhL1Q3
CRTPQHlzE9wYs2S2Gxo7EeISMxvdfhS5KB5ZIvlPGSKtF4Pv/tZoeOVjXk5CfZwkD1MezU/+VITP
eSD4auIfaV9EbahXpsDye4qHa41BE4TAJkwlG47ws01/S85HhCC1lNxSingLnzp+iNkb1gZzm3WO
aJTWI09ma8Lf9qNBlORok4o518OAw8MSCRGPBgpt8qKTYsys2GO05a4sav91ZsjCF6BIqxcvb/0T
3l66aHkTqMfhAIiaLGvQZvbOPTev/Gefd8WNymuChYJT0Mpx6mDLMY/sa2J8jxj3FCv28BDVXOY3
OGFwRwZJfAXHgc2Pyz6NM0WZ3bAuA3Ab0XFunSjlUJKLrLzDQ1brVTKlHi+OwxBSQjOdRTukRzlM
lJ35YXuKJDG7mEMa+JSFp24dW7DiK6LB6T25T9PctElWnLlgeOVGguTdCBLnxZ7H5JHWTlHxFF1k
Trx4+tOEczbt3m9WXA/fGFgPN+Sfqjund5dqyS49Y1ZJTjO2pQ8tHe/st2VJyYtr0GNi9faH07XF
T1KIyFkM4pIvOejJc1zXjbtKbZcqIS+q6FQC9pJUoOVY6/ioklJmQXrfOBXSM69wiPXRhWneGnUr
HwM3y97zgCIAzVQ0Jwa8If47kw5JAxotbKdKbuZumF6RdoXuumZ22nGegjJ0Gb3Ph6ZlrOfovsl2
PAbwIneo6BMYynI2TzFMGkh/a4E91qMfXU1j6xQb0nwt14gg93Y2boyLMOb+tUmYV+yGueKjQ6NA
lq4Fkb69QImpMZ8Y5pmMPQ0HfCTEldm5DOzctp3WjnKD166mOXkT1M2ztKYy3mRLrJIqreI25I3y
diDN8qFhQThtzaxy3zkayX6lo2x6i4N8YLiSlm58KF08OWs2xrh++DTHzd6nTYALRN1QpO7qXH3v
Cq0w2nHkvwjoCXtQ7XJn02rYBzMMLg1Jlj4F7vSjrhOMjuhkxxWP1nxPOCPxG7BMsIRaFxW3XObY
I3sc9yUgJPVeB4PPyLJ11mCdoCKWdemADvbcC2StYOWVDDdEkUd8PXiPFv8BAxOr7XvC1JO0ciIK
dsamw3IxAKFyY3TWUFDkNzI9ujJyxDoNWtPauKYZYc70q7d6cifuutLi9s/qZiICa5DyGFr1PNN3
SJ9twMMbjrQsOdS0M79TzWpeTLXMecCdJ2s/9Vm+t5Me8DBup51KWQLxkcyPQ9CxKHNZpt0gzYSK
rGXH3aTxm7c5LskLlcKon2KXlj7MOmycQ7rIektfOIbUlK/b+maYbazq/NrNaaqb+jxNEJ/sannG
n5KdVKaxIiti7Xm2KZCo2035UXl0Cywtt9FN6DnXKXvfvaAw+j7MaCrD9mgQGsksOFT29uEub+Sr
U5jTraFi+WYoRjtWbl5OwioQb9jxg+2GqXkgL68Z/srqmWRnfrlUIVylZWHcBob4JxDjz8iLNiUU
FDdugexILvjEL8QC5U5uWYaVtzzTszzlifkGY194nbYlaU52s+Z1bxnxg9lTC/JvXTewY/CzuPkz
Cyf/CpcAQWELiosa8OYL3zMLQ3lk6739pKi50aqsD32NwZlbImPUYTQp4wm5tRZm3L8PM7eUGsPy
ruwTCzta80bGyaGkDMFiWprYAHMWTFhGMDxzjGffLCwyk4PNWCZD9MIAlQqtWsniNMh4PrdNBLnb
s6pwmA3akFrpuoNl57rCCZh7PaIiyiDEPhsTA7GU5ZGH4VpGIlByQnHux46HA2eYrJsqUm8x2ee1
4dJZTCEjkFeRU8fIwxio1Oj9U5+q+DNGqDUzW2zdtmA66H6B2DI+Srx8ktM6DCXPDeaNlONU4BmY
jrkFsjTgsZrQGXBXIrV1ETXdtNPpllPAwhgMC+sbaHedhT3qhi5T21jb/dEsmnBdjMbFaNKx5aUJ
B2A7xgBIY94/gDkLSPqFtkIPzkJLevwVPmch53756EXcS8pe13pv1iVSjFz3M5Vz8xhezEZ7axFI
3PTcnGltbMITRV7dTzZe3bE2F1qPgZtjkZkTJKIZe8Bt/D3M82dsjz+cxE5ENkxDpn55fYMlv2UR
C95j5eYaimcSTSRy23/4MdYfm2JcsEv+JSEe+Qpwabe+/JyShbFs/FLvWX8SnumFaxwQNnabcUzV
D8EDPNfIBJWG5UPed726jTiEjhsG48kFzI6+TicvAZvhy1I6eXbd2h1qtcSfja2MzPuyTZrHv39p
rK+vDddr06L8CnSS6B0Xjj++cUtYgIEEn73FHxKvZgFz7hI8RNOXlCvm/vJRJ9eFGRUv6cz0jP0P
Bdx9Gp4mWis3wAzTO3KG8fLzz/W7pur36wneql9h6i//9V/4Xfn3p9rqrfhddfXHv+Nf/9/Z/8GX
eQf+Y0abqqTX+g909uff8Ls5y/vNRkiFM0twOYQI5M2GuWj/1//07N9w97uCAILt2HxF+Wj+Xzgb
SNdV2rIAJYGn+Wo3v4v/5W/8Hcxelv4jxnym/s/A2dAcXy4SghZs27Is6TiSR86vSDAgE+pwndn7
Em3SPf6kecOdND+NLtf6Ph7plaqyl5CICzsVz3uJOF5ecqfryFfwF7ln+aXOYSGTp5g6nKucGPvZ
gsX1jyN2IXb4AvB7CSOoJzEP5OFprMWolYTkiZK2yo+JnhRDhX5+gmQvPpgstE/h7Ab5StqivSZm
Nt6YXoAKg2D7WlZFsqPwVJzGuhe3KNOrC4nE/kRaBBmqzttjQIB93FjCsJ/IFwp5UTIwuCBgYkNr
EWShx4/ZxzGJpHFhxvyg/83emTTZbaRX9K84vIcCQGJILLzwm6eqVzOLtUGwqkjMQGJITL/eB5Ts
ltRtKbz3skNNPr4BOdzv3nPJhNMzySmNYw/AifAZsbRGFTHcswdl463GYMSGY0gov4Q1kxc2HPM5
ZIgW7LSI+LsFuZW1oC0MVn8+259BhE5BY2RRnThpRoB9vYxRCETuVdrq5ILPz3fW1K1hBEFJYfDl
iebeUBX7AUNr2F6YxXd94Zc3RO8WdEamcQSg2hf6imqqf1goFQ8AOUJEXpS3b8oi5bUCc0iOrDWm
+pa0pjutalMWFI7iwkfljvvsvp2niQGfW+30JJBEwE2RghpobUB/ri7Cbd1jalnRTD8ofTmFnzIs
0C76xCh+xICx6SCKXXwLZe40B/K4tV5VtPnK9diZC+1AMwCC4VgkWEDT7IgPFXhYZ6pd61v+I6cz
f9cL0XxOXU6FGL4LvddGKj4UR6OvHH690wLEOrtwlO89OdnPA5zwmwypiXP0ZPrGzlVmamxH3ZfE
1Zw0gtWReu5JRx5wgmwMQLlh9a+pYo+QLp3iNPWlD2GLQZILSel+dhXer9QYtpan3Td26PypKN3u
0TGdmLpMO6XzZza0WknbNbHsuGNwa3pBfFWeiepL3ry7cRspLm7t21QBGvaElFrh22hnMGblwEcq
Gy8rDtAo0vsk0rSvZgGMqXBoHwtzDt+46WcnI3Ocrz6C0dk3pvwQ2Y3Nx1RZwW2DHgPH3EcgXKm+
disucouWlMHEhNNYtf68s37qTbKdgVf2KF4r4bX2Npn65oE74ryTU7qFxg/rUtVvShUhQJqK+XrX
Gy/1MkoFenwiG2zsfB1yh5uca5c5mD3dYFcEtDOFjfMlpOFqgQrvMIovcoIfM+mWw2de1B8WWCPm
os1jjQIXJDhoQpFtyXExj1eMsqHNXYs62vgId2tr8Vxz1NpViacLpM5F6fN+qn6DbWclA00m9kRq
AZBW7Qwrf/JpsEy1eyImuh5MMbAgkIWHbtsVF8nOv+Ux7J/LwClv6NyEUmKJap87ndb3nRdymI1+
ypizaQD7Jjcn3zTRJmDT4Glg/5O6+8hK1sQNq4kN+smcgWMs56N4LzQfzopxvTFi3xyQJvlDLmTj
n/rqKAZtXFCdga4P0s8+E1HqHc2Gxk56qcvPohv3VuE6e7N3zK0T1dCgGvKp/WCiTEdL8S7qbfjs
89GudUd51ABPY4fPoWDkFw8LgiCP6m2Zdno30beL1JqYj5IyxTcJmJRBM+6bc4Ep5yj8MLsLbRnu
YIInP1RCcJsRjQu2Be1sAjyWYZEUBtfWGYY3No5ef1UO16A6o1oUnH2WHCYIprRSA0xYoqmA+ElB
rEQWJIcAvfAV3xmCdjM1GxqKo12huI/m8EkfsTc31Evq7OQX9VRv7NT3962uO56HqL1LmV5iRFOO
fo/GMt8K7Apz5J4BNUyXDkvea2NH7TmKxoOeM+MRqYGgYCmzhympo6tHiP2KtaXYy7IUd3V5UUl3
BBU83ZldkmxsX/TPAcfqXauG0l4TaK2Pc6aMW7OlZuUMs2S6DhTQXNKYFX6d6cA6OUP+NQyC7qtv
ZNlLnejqho85uy+y2Xnr8JplmxrOKvhF6iauUYwZNu6h3a7saG43qcZcjWBPsbsr7Zu4mEvIGqHG
xRtoIouzgy+vd2vUnPncGHiAub3y1c0w43f5XMyP4dzZzTqk/uOLpIZgO6mxu3KkEycfajjgg3xW
69ZL0886i/XR6jVfUmEgWMIx5Fe2vLafJOKuI2mwi5i0HmxLeR8MpKa9F0YsfZwHp7Uoc9htuTVi
DHREaVz8NoJ25CyK2sB2r5oaXqLl7WALDg/U62BdxRpT7aWUGZz3KdqHGJDWEJbzL0ap5+fOkfZl
FtCLwU4x61NOWCMfxsI6Rqb4hIMA28Aasnfi40ww8Suo59HqodM6HD3wHNaNfxmVRJGTLUUaLWsr
cRpMVGXCzxiVD4tedBWqFaCguI0KXJJB9jawnjK8iDG/bqeorO59R2I4GupkfqrIYUDgBal1MtE7
X9o665/H1PpsdIW3KQlbY+VHubgCOIu++7qLqICLkRKnJdCI4Q7t06H0b0vIxH5JG1gaPkvNt5CQ
M4su1asMVzOzhD+UuurZn9L8ey7ybI0HLMdVncCcKDrra5zawCIaIAp0HaiBSTkmXUh9W+S59DQD
ZXkNwugdwtiBR0ueaxkgxNqMpnojOpS19WjOfM9Q+4cTjvxbgPE1EZWasawe5mOZqsl+zBoekoNm
VHfGGOM99mUWgpnQC0gygGUapxw6MN+174B9b6uJoYY12c0RpdXd1ymb6apuKNPO4Y9vStce7uHr
t5z3TLZWhLKdYk95rqYq3+HepDGAOso7xqbjc6Zmg7lXAMAhp51atbmz9SvXeJKjvx1x260a05b3
mNGLW2wsnPdoN/hiUe527JtCb5u+VJ9QLbL9wIh7SwIZCIdfBq+eKKZraHnVJ3cdzKjtTLfm4HnT
Y+Mk9UHDDNgpuz2QJI8vdPRNO8jw2LTLdj6PSM0//Nmw1ip0r7jjknNhsN1jhLLep3LCC5SkkhIe
WqtQkSbSIue8COEug7AZf4ShOVzmKaWSe4ScfDt5DQvJMFbvRd/YDGpbiSJodPuhGJI7b+IcZUVh
sPM7K9sBVlI3mnrLfZlAs7JCx1vV7fjJ8Ke9S1R9q6XoDpap2s1kYVeTHQZHf/KyS014eTXp4cKh
EwBmUDrIWnZ+CBXLemUazk6JbM8dHHNn/A5V7VNZwdWPonZHswfasxMl/kOllAKko0xrF9fGmTUR
JKCNgeupgEKfY8sdyT9BGuHij+V1PvteN+zE1BkP0oTG8xXav/Rhu7ZUxHgq4LuvcucHh6wKo48o
rBc2qXo/Dp313XcZH55mZNZ6BeA0+OyBPFs77M3zW+v0w2OQuz5dwHq+MVvjJrNS94HD5HQC7BEz
Em2zC/jMgNPc0qMFbSqhNiiyWqhFjSue8syKDkXbERtfaiyHLqXiRXm3rAgwmuqouNAh2DergqLu
V8WfuNgFPeJrzpnzbdPJKVsps/a/Ui6oHytUpgvPq6s5eyFgNvXU32eIjAO2KU/eOIbVmSsYmDSl
h5xwYW1nVrMZrTJ/nAEM11s1qOhryYj3ItpsNtcWVvdbgcWI8Tom/BWH1YLYDLF8TB0dyG8GHKG3
al1yeuusbhZoI1Q1A4lAxV9IcVjnRimGf7HpUAfrc8RAOT1iRChue9P1lnFmcWP3nn9PLMcRHMCw
Q66hxRWfckqs90hpeeMFmf9Vx1h9pAwMvfK8JAOPFsUZvS9lqEfAWeRwN6Apyo1RKavehvMgn1pa
A5jHZujkowT+AnUX8bx2idUEWKqoSQGmhaEBO0vY7Fm1vvVJ1zEL1XhJpRPvc6lIdSWY0OwIV4v7
o7b66BCWlXEcCaOss8I4Amw6OG5yOzPpXPWeKjZ5GnWP5tAYWwxryT50c9wJZijWuZPtycAcOScU
Bz6IeT1UOwqo+hX/kpPnlj9MCoo3SWQcbI+ID18EVBqPLSfJA2ImVfwlaBjsDDG2TFB2SO7RMzkB
ClSbftg1aUfYyC6ppZI3wsZwVpjGQSTduOMy8k6R7CVz002ZYMuicIy9wYzeugrp3+Rq5raNvem0
721mrBuMp+Pu6JMH2BawEVYu4iSiXiE2ouzJoDiaf2cPsQW6BEaevNkVub0x8/EblKRNq+NDR2Xy
Bn/gddZ+djeIosLFas43PHuYWUQYbNh6rNUwTA3cpsAWp7QEah8qme1h3bvrqO41kAmtKVpJvGZl
qFLs5qLNOJQaE8Y0bCb3U+ha4RopcRIUlGvyWn7eNRdv0pA6aSiD7UNEASa+4TMOdPqDY/jhi7Zs
/dpiaEnXILoWyx7Zm/NIL5PazPh87unCKOKtF6ngJaf36FsnovAM1WBwyXcwjR0y9zUalI62nUGh
OH5/LjgnU1iYJlREAM8TYj6o0RxXbBzmF6bx+SMwM3JJBoAnc29keXvCogBjpGcwzZLXqy+O0z2K
iZ+i2cmnrsvAGvbw+2khlocxr7/NKhFUD1Kv3RGfC9w22GIn6L/bk47xTuM+oERLyAN3LPzPsamw
2knprcGkAGFkYNm/8WRBC3ZVAv63iPekELz9SJkIg0SucHYcRKcU3MGhk6gEKxlbwRZbjDpbEWs+
q5A5vERuln+tcrzIidfpkokq3j/JwWWJuQA2WUCW2a/B9v9X3/4GYY9o9pcE+//EZl/8Xn379Q/8
hkbwflmi4Yz/GSt5frAUif+mvgW/cJHl7/ag0zv2z//yD/Ut8OgNDHyPP0xcGWHuH+qbRXg/kAS0
3UV+s/4v6ptnLUrur3Ob4ycK4KK4BbwSKl/gO7zWn6ZDVewPJgYEcQhjFs8VFqPY2gJaFunerDSD
X1nN+R09ULTBcNGRJR3xU0eihCbZYh13ft+uGrRH2pkryqVLYJh0sfzsnB4NHSb7aumjlkFDdTUa
4PeJgTfPX+knJ8fNNbEaDS+cMG1y9GCXpm7Z3jmgE++D1gJXaE+UNuLKvYx2kBzbKBxvtO08Sofr
PZ/gtAc622yqyu5u0pbhJAPz1CGPRk6YCyHV1krrzdwMM7EivDF2R1JybmS186eMTppML0FZWMpV
HdzAtbZuyUdGe2emZtxKkvNEm80mNVDlZjwSu8oVn3Qcu0Aa2o+yoHEzUwkMidaly2cMp2PKvfR+
DoLhlCVm/BnUkNoWisyptLpv/miwLPhmswMP4GyGgNeUifc97H3rtqvHz1lrd2eOEyjW1Lj1cLRV
6fzOEn40IgElPfwy1uJMpc3F8dMNGtwJl8c+iSGdr3BkfziUTu3CUXwyet63cLVxLk0HnTM0sgfx
FAVLCD3B+gw5E79YhCmK+f2XPHbHbef7r4DLLymtUivpb8AkNOtEj/UWlrfkkGL0Z2tg3srR9lQU
1bSfEmc/GljH6Ze4yxq10ITGxZwcFbhOlPM+DXQTg2pB7xKefZ30Mi5maPtWtHYx0UvSRx/Uz4Tg
bUb+Bvra9sQVKSVstEEsrpbXoojQyUZv+kEJO9ApJxE1nqZxPmeqGC5NnF0BTEELatj/sklRRUT9
CQIChx9MGd2nyjR2aGk8WHVwynTHOTmCqkfZSyOu2KXCA06Nu6zyg83gzQ90cN9nPhtDNPh3c5EM
R7fPk3NSk0JFAA3tO4jS9SZxpw/6jcYd5ctvhdD9Tet7R8POWa173AUPvq/hx4KPZMgmset6uBJS
7mTlKOY12/F07jL/ahmO+9BFbWtdfD9MF05cadXkCI1E4DjKCr3rilwnayMfImOLPYEbWdrzZjc5
RjTget5SkOnppMi3zhwWJoaX1OMNYyWAyCSxGcDRa4EoIg9lG7oWgZ7qHgIK59UR2ws1MVNE63qM
A5mOldDfgDIbqKxNLQfSv0Fh4wojRx9dDAceLYzJQHXr2M6g1KWZk6gvRpY2iKhGKTtwWwUQTA40
Fc15vSz7WxcI1HSQsJKmMw7ZfNjhgSePjgW6kY8Fh7nqmCFxVT9UlswBr5sGPAFtnAfryMadSm1N
yM2Xa46MtlMQUVYfcWSt9rHwuEtWbr3sw7YJBTwsDNl+VnYfF7hqZNDTPYpRCXk5cN8w705fyoEn
JujS8K6JGjltUoKdaMnTGFcH7Ev44u0ey9faY+ZQYJqjsWbjZzkfls90mAbQLS6viHpUctaykzwK
yYwDDZbwY8tp8/sQLpE++EoDtIw0sbI7r0qLdDdrB9xk0SGR3sZZybfvTCreL6H7bgvXg6E0F/JZ
0OON8LwHl+lbR69uuvyDy7JOdgGdUsxBC0kI2+mt+VsZANWtRx0/BCVVilzVeUGtgA1YBfDaUsWQ
AaYQetaq7pHnq/nkGbZNq1QSQ4Fzum9DWTHizuOxvtEVLC+Sz3N6LEZv/iZdY432zQDca59SoJlx
N77KMiUqWdbTV+kS2JmzOL8XqcWyl0TeLipLtGvfr3Z938qvkY3ZfSU6Z36D3/85eDrcNKYuX0Kj
WSx8mB9h5+NY684efy8ZZzwkLgfQceiLS0eqT+wDI+QT7aemWHsRqepVLo36OjW5tQV9i2TPya+z
ccdnzbCF55kPZ1btl54cjA8JuO4e08LPxQOR/R5OGayeDWRN74zhFiVtajpzfHCJ/s2H3EEh7s08
ix9z6vY+Kauy3NWQMJjeSDSApwbndf8WVXPXYC4bEb4xcBIZr4GmWXgMD9kwvlMaGcqVx2/ZWkFM
C9Z2pBaFvE3Xzdj2d/iKkqtjMBDoQTTeSKHvpwwwRhh76b30TL1r87l8NmbTvxhBPn4FyKXulWEG
ZOTISzy1cz5x0m6K/K4H4vteMvI7EEEejiFTGoPcsyy+eWFi3RstcSXf7oLr2HERWAGxl++RLTVp
hgzIAM7rxFs1QofZOuyE/CHzub7QOzb8COOe/rAkqHycaEbtQ4kDvUsu1Ytj5BbaHX6Q126iNUMA
kwpWhtUQ+bwvxWCke2IHtr9DL/Dyi1XSsmGU8L6X2OVThfs3oop4KL/bvqx+9L4xvA61rdWGdFaA
AxNj1cpCBU1WyTjXV6NKxE2UtwZlYZlynpjP1MWlVKPMDlCYkd6jxOjTbWDG8pU8PW7/tA3GfarC
yqZ3OXM+K6Pp7/GEyiezKvNLmXQJF2FqX57zxnLfZs0OQhELi6RfTNGr1xvmvT1aTP3yKR9vEK+o
J6VR/RAOAZjoyLXOcWR3xx5iCs2mpD83rh4oyPKzqkE6b7C8rmdjcgCvBnP7PMaWcYufgDQ3iGiG
VB6DueamMDjkr+aoKAdWyTqHwG3iztXmPOXbOO+qU9uNmqSpEK1736R9/lq0ET+6KopED/+2D8XG
DgMfDjL52vkoqUAMj0aC++kAboL9D8O2V973rm1MV+6MsX1vmBMsR4aKXY8lX+AHaQU+rY2Keeub
gcZjbjhGxpAokVaG8awJ3OiSlBiY1hCa+3vLxkxyctTsmheqceZiawaGkuhw1QMJSqzUgMgn/RCC
QlQvBOtwpLrlOqV3ZQUfzNyWGY98EJOwGyyvv8l8Cw5VVwdPVCZ49yknl2hNdwITGZrtqMmexSFw
5YipK7EP7GfFVcw5F3a/lfueakPAjT36p5G28wViIJbvshW0tomWb0ERbCSN0vY07kiySyt8Mxwf
hHnbTkOyodb8weSBXzdtEm47D4BJmy8kAUvXZ8Sh6Dltyddk2LBJSiggdlAV4oiMGbvDbFTjcabL
Vl2aCo71HlAME0psaZKvVXXQpclOO92dbefmVba+uMmNWDw7QwfxipnpEK4rD+rjqug8pH5Fe8/R
kKF4nqweO3Q1TYRXg0nrx1GkgzpauD9OsT1Hn2xzLJZhM7jjqh9iER0Q9rG+c/9g+loEZ9D0+R0F
5ne1b417SnksOumIeDbl7F6qRknUGfdcz2S7SpskEhKOtaJO8jwY7vyNDSN9jHw7/1SMQfZ1VltE
M4WRHa2uCXEZOX79GUUlRzDiGDjVSTCRH2SDUjTfMBtLoP9uzVY4u1r45iLBshHsh5Fj+40bd8G+
rQY7WKot5mvmQAGpu6n6UO1EjtYg1d9ZCSM5ygldRkFikeIskMp/60n7mxvPn/w4GI5LswJReXSw
DHfYUdvmVAL3fvqdA+M3q8q/lRrYc1J27X/8+x8tNL9erKSzGGhshoiMafln/M771M9FWYWhMRz9
sWFwiJc7XTOgcvzVX7/OH+19y+ss36+FTczkRsj//OPrWIFhdyCB9HHWpf6WLju8183cCKJJkpAb
jSz5TkEK+U2HqL78m1e3l0/rj/dHy/LxFjoB4l3g/fltUh9D+3gjuqMDwXgXLwcBWxbezlkOB/3Q
5veyFvUuqxzqwqdq3EScJnqTdjNOF87PYwbWzXw5eED6NfbzeAd0vjp6oqYAxaQETK3SuUP3MOC3
0YLUsFRV2ONXlAZXDdLyrx6j/9Wy+M9viJuwieWJD1baBI/++HmiT9HiVGl1nJO2TQGt0dZJSj2h
Ikp7fcAeH6Fz/g0z8J9fVJie6QAa4mQK9fJPv8mGWaXTQ3nlRaP5InzBWbr7ajYATygQ+fbXv5g/
uvKWXwwvhm2HN8jfBCjvj+8wCoRdkuhifjUnxtZt7E/cj7vCHLu/eVf//AgIfpauK8nOAFtzl//+
u0fAJtehcCWXx0QX+GgcS4VsnKWFNP7X7+inh+6Pv0IIcg63yMVmaLr+n760CCdNCqQ/P3aO5Z2p
5Apw0o1xRBV8ICAh2Sixe1JK3PNUPLTXDAaLcyctl24NjnxAsjj9KXTlTdfocD6MP8+Hzc+z4l//
U//pM4EMyU8LiJ/Fx+KKP/9LDSfqGopMjlkcm/5RSd3djUtPyN+A9f7F68BtdV0XXiAvs3A3f//Z
e3Xc1lGk6esJuQxsGh84ymbxBP0KdPx/UfBvREEL7xFL7f/uyTvAWPqIv+X/dtd8+/zexr8XCH/7
w78qhH7wiwkZVfgMiheG6j8UQt/9ZfHO4pVHPLR+1Q5/UwiF+MV2XZCqvufjDcGQ9z8KoTB/ETxv
+PM8ipN//qf/rvf8bdv61VL5rx3cHOX5pfzj2aLM0qcn2zJdB41QgDVdsKK/f4qJpij8BnJfchff
JEDBa7A43MgUJq8PpxPNNjVj4EG1K/eeMRTkiqlH9Yc0PNpebX+azVweMqarG2S6qy4IdTpFl77l
TebvqtkDMULKo/6o8WgxGK1beqin6NZgMvggl4xSpcufV62u+YSoNO3HuPUfmCgnwxZ93fkIYcSA
RnC8eMcFfjcF+iZJnfyMuxrW4uB1R9qCjgysnNWEG3+XqOAKdaw+qCDSr15UB5+Z4WkqAOIJdpAR
6p0oLa4US3vgZwRy+w16iz7NhC03rjd2+7mt4gObMSoYdIF9C/d/E9n5TTAl8oolbthOlHQdqphs
RD1pj3YUUtEJ7qy7gfDmNoBFbRHi8CjozmnJXs1hop57QpbfqZjzbjrTEKda6qe5NQNci628Ez59
kMRLEUptrwrFCnpIq0A6kWamR5IqhNUEemEvp2kEP21nr/jBTSKkY3cqM/uDxEV/E2ZJciFQ1O4S
X0JmIxhwFFNLFzOTBncVZX7yHqNTfiHchUUgaZ1LJNvwHd4e/JWxdY0f/eR1N8Uk+9eKU/kNXzjv
00WdC+tyHbmmcwultAVPIPGMMcjPt4xEfowO40vPi6GY5UyKTzS7cSzNxQejbQImM6yNHcfFkJyX
5/BBGeWjU9gphhVmVLHU5iskOnZjD3Z/4EK3UExNb0QctwduCPVmEPQi0SdOkXjUuau+dympIhiQ
kv4IX2QzDxs3sYonDsgduVSMbN0ci6/jpLKDtqkz7B2/uCZ5nhJIkri1vJ6pUGODuPDDdjtkPtiG
wWu2hRt/xzwShpyblXtrWX16RKpc8aWbF0VXxoUOtuDTVU70PJIe08REixcSNvlJxqH3NJSkAql8
CuqL7IEJDMq079tamCWjM4MW0cppOKo1Wn1CV7xCtTPWlo7UTmMkv53FVMDF8kbMlfTMrjybX21C
nug5h9xXb0aOfjuj4DMLUsvcGE2p32aIAmdDSvWgC2yHM4Os3TRA8RAjDh+nXZHqbPYKJOVLpsYK
qB+tKo2BAbKZ0s3gwlAgZ1U+W3IKbmPeHVlZvEVbMxysGBRBGt12lRndidlyNl0sFqMDozhwPQMh
u1aA6AKSBE1pwijucyv8kBhEAkZnRn0w3MbZ0VErYagtqbDqo7XGk8zCdG2Yw4bgqLFrquGm6IU6
SGbb68D0njAcwEIq7SNdZuidduwZm9+t1f/i9C7+DEtm1bNNBjNMRCzs+5Kxze9XvdBPQSS1LAfw
NWyA5m6FuKtUWRIRl6W6QGay1wORe7xDr/mYixgaY9PcOrPFfDCir/fczT2KCgWhmzIu83PQi6hY
c03PLugV5WtVM7Bt/SERDCpjh85aYtshwfs5ewh+Ps/Zz2dbxNyojqCFHe+I/1icBmLREyMI4ZRb
7RjZ21+/dX8xhP9hxV/mVc5ynoK8zUHR/NOKP1EcBVowAgXnRlgrCgSSTDwacnxDX0hXFglt4tJR
fSFb7kdrpkcIu/2o+DXQb+VTkuI21tad4yqniSVElbEXLghdQt8zoZfo1Dgd/Xo4OGN+rMVcj2tb
N2+y7XZV3NR7ZkAnO7flOsuSj7qmjpjfVnEH2bU5cq6tNwg0KLkWoRG7Lgoq2LK+3mZNJo5l3wgP
zKPZbfkc7XU4ENnt6RjYu8FY3Gl/CN64tJdvU2/2C3eofLdR8G/dCMNyHjXxLh6sYl91g/+KgESb
VCHCu6lI+gf+p79rZp2A1xHxaezhCuLik9u5AME1aDXvK4pWL7YcpmMESRJNzunCXdTZ0ePEBZPa
NerM1vyzqaYB1LHLYOfuuc17u4xNdpsLJhTsQVj5mjZsXjqbXphIBOolFWkA87F0fnhEvjdJl2Vn
TZZwNSo3PSuYZjTFt7b7YnSufaUsyXgU7WAfMAvRTAMYtPpOi/v4AhfOe3H9qryLw7q5k5nbn8y5
sA7CcuJLWJsNWBbnWDRy0/Wx3PgV/TS1bMcOpoMFYG8YhvtxKLLbfijx38c5aMTYgeaXTxC90qlu
HmnrY5Jhk7OMK8t+d3AZPFWhUwXrMH+Ou5SmpW52B5B47Vy8QecbbmZc9pe5oanMjNvxXCJfXQqJ
IVx6eXJhysfYqQF8sGugy4ZAa2S8Npte0S8/hNfWGNS95w8+ZiErmqBRYd9wMRxS5cksg8xRdqdp
SrvxiANsYmCri5GHQjamtffxsorkdchxxT+i/OKIL6+TjRQMspO6B5AnEZzL1iNULn00JbYJ6hmz
u3ZZsyBKOrtwWcdEZMX3xWwYP+SywpGks5h1IWYMjY1mD74S84G7n38ujPrnIslK4Wz0snI2yxoq
m5h1htqmmYUgBtdkL+stttjyeVzW4MZ2xlM5VKy5yq6n1zLs5c4eJlZ0q6ofetiF59m09Js7eOam
QvHeZEZj459fNoZ02SP8Zbeg9AlndbbsIbTeJ8bBt2fsCN3PLcgMVBytAmPqwO1atf80mZV7hVjs
hJtx2deSJgYcIysrc/etKQn39wrH+LJP6iadN/j/2EGp7pLvg0pdtgp+04J9KlFnlRdE8VQHKKkC
yLMPY6B7m+bnls54lS92MtDcUaf7HX2vlHjNLV+R//PUMC0HCIOTxLwcKeTPwwXu4XRdat+FK8O5
w+T4GAZxTdfj4q8McynBEOrxXFBNtMG8Mx5D8lPARYsC96mKNz1WsGOqNZUgWtLaDjHOWZdjRZ48
yDPYIIS3j6KrGC4z1PwSV55zy7BXPsDvCGmTBJ5MgL4Jvtezsu/GfHA/+hz8XdJOyTOYs+6RHPzY
biJT+0fc3oRNQ5qbsQQ5ydWz6JQmdBiLW88QMEsNaCSc6bAyDmhKi4Rvu3cFoyLYD6q47XTPLEAN
fvOO0+jV9JRaIJpTDJrddHdFKK29BMtKyRlvHNuhfWwMKqMYr3o9w1+JAkyaUmzpNTLu3JmOdt8b
nUfaZb071Et3nfhsXVaRVE8K3B/wCbPJj8JI0m5TJEg7oNkl1FJLkcYMxrS98aAAbr1+CAAsJXQH
B7P+EFWp+IzxdGMm5UHbDQOi8crzIsx70IntLzQTuXvmVTzF6D7JCfcfQbdGGqeg7odDkY7jKfUN
WqJRFLmw115EgsEwv1qjvJvRj55w1WMJo+Z8j3iZnCC6tVQIk0O9jyc7e0uFR53Pkl4i0Fx07xGo
sDelu3Zr+tSHBFUW7vm/vJsIwdvFXbftitI72yrgx2/4Xc5Wbib3S2cOZnUQjAwaOQXSXek5dwlv
A3grkR0ayGUF/JAh/XfTNqBwgHRkUMUBwFh6UrA9JV29XRSL16rNnFM/tfrGFTgBI8vXW5hxGILA
zh59mxIbYkmy3koO7NuGOwDKrXci2fsDB/L7NFaMxMaCAoMgrMqj37iSpx2j4KpM6+gB7+y0Z+Xh
YB1m5gt9SHhlq+LFcpT96tQWPGSdqy/EYNMv5PSb7+SeyDGgnh/6bn4jg/AivBzIaUpG+Og61Y3t
DdeUZCCHfggNehy9bYa3A2JPTi5ma/bAstY6qDwTc6GjjhJSMy3LmXsKRC4Oc6fSrdW409fE4Hdq
Ao49j4OhkV+88AOjrLOPYG4Oa1hCHOvnEnznMGLGG2PnU+s43AdObew83MMXgCbJGfcx9FhdGhWU
9d5+irm/jOukGrvvPYjCdC2yVl6o2GW1AZ6cPgJc92jXQIFcpUVW7PzUUfumEi5HY/rXeRLppt7A
cPX4W/vkW570zir0VXOy8dPy/LS89z5fiHQSkqkFIkbyRmnESuElO1xHrpnXxoeSWMV2CPKW/No8
cnES2MPAGx/HILD3icvrg1vzXwtOggmWyCm4KYJyIkMkqp2wtP8W14m1t3uM3KE0gCYW+cRT20wm
keWSCfpKVe0xzduvAcCf2Td/lF3SbXsrtL51veFfA1qvGl89tZkPEdiOu/bB/i/2zqQ3ciTb0n+l
Vr1qJjgaSTygF076IHfNc8SGUCgkzqRxME6/vj8qMwsRqqrIKuChgQf0KquQKdFFJ82u3XvOd2Lc
/PsxhV6WWQuvQeI9ln1FUa3Y27FzGnjk23EPm77bAJia9roSxD9Phf7Yx1OD1wJLLjaEoWVJGvow
tk2mkW5U4nGgpaaFBRP/e9oTy71gWiCDXPdUQIP6HL2pRGbC33wNvsq8QF+MRDyKxQW8YvNGjWkv
QhvIXbX3XV+7wxVoXVtGNb7b+beoW/C9ykls8Dok4or5k31o05yySKsuSg+Ajd6IsO2KyEWsm+1F
qhpWEdihztRpYel8n5G/Zbs1MBmZ0VyQXea7RiiH6Lwfs+WSgvDUm0gTdPXs5eTT3s4J+Wx2b2ya
yszeMye+zPOyYp4n9RvXiZovPF9sXlj5r0ZMgUTvVfIZszxieQJFNCfQ2Gf3pCCoL2Trgm8ofetL
pOfOk8jwDfV6Z591mp4d2QmSc1FEWoBOfrW3FwA8NNIIsyw+69sMowa5ZkzBVXKTZlLczno0f3US
uRAdGZdnLQmKwZLBsCLmHFoj4Gt0R7J3p2fFkhfIinC0dXySHGLbKc+KdAZlaWQLMyt/ujNVJPdw
oJb9jKJ+R5c9O9grVwvFwhLORTRvh9SYDtSQOmrPGs44Q2I9unaKSp7ZjZp2MVEOW8Khkoc2pfIb
UB/j4VINOtrWP8QEWCNZSmFbpREDbT4DgsgY9eqA+vi5GebV4DHFMEnT8jZmIgizECz7DuzIRBR4
0sCezh8KbZZHxkNqj36Zgoy86J1yAe6E4Crusa1120XJGqUqBrwNJGW56iZdM+gLbUQt1uW8gTnE
ad7+Fgo1+phsw0epodyV/MTQl7DzIjgz0GzIL7AX91XGlXVIyPvbRwhmwq5n7onygpQAE8F1X5Ey
a3h5Blkf2TvzUoI84twJZ5VHJ9OIoovKqLC3J98cGjNZvhIh+YkkOrVlhGkyx2WjgOb0JSmGq+Ju
WzjLfKTDV4WUD7ecywPTh7eTm5AIQL5H5UWCtjsox8EN6RMsW1jJcNDM1OVsTnjuCRiFyy2IjLOx
rQ2kYwN8FbOr3pMIn5UY6TB71qwFjRYZcmNFzJUrLP7fybnPv0BDbwtGG2Z0a2uDj8NTFNecVcCF
pUySEEDTWXJEZz1mmj0EfZzKLyVGicCURX1i9p9x/pPATbDBHnQrLfb20DbnlVV1hw7EkJyqgEgc
t9gQD7LsFjcz9rxh1kPPce261xDlV4PbbtOS3kfigy3Rsdr0WX6qTec4dYfZ436qyv/C3DzImsS7
BZnp77PRBUqrF/ZZkxfFOQhrZq68gmfRmF3HMNTVX423/tlRGGaGBxYK/77uf2rXj1llRpFteXsN
RsEWw4R4JTYY0VvjVNDjyW+Pcd1OMbPUCldFm6PEDpNEajfFmM/fhLvIFqOak2xnhHcon9Z+JT0d
NJAKzyoc3mSxsbJ+dDh1zKA1kZ80COdaeMcU7yg4d06I2u9khv/urv3/oBwzBj8+zvJ/3Y8/vpSl
+tv/einlf/3t9NIlhFP+1JL//ef/aMmL38jusmzqGwNgCl3vP0W7LpZ5n164x4yOf4g1bObPlrzz
G9F+juG5tN+R0659/D9Eu5b5G0IRE9owc1qdHOP/SLRri58neDCPbUhgOtPen5tSlaliQ9FE3pdR
SxYtcEUM17q94HlOh0tp5wDb/AgNxsbQxgRxVmfnW11rmtNMYMoZCpJmBwrNuRTVlIQA2dyQUMnp
UFh1udX6iP6U1GIDZ7ZDzAKFIl75CM96U/fzWYnZcVN0yfw0rdWOyyF12zVkrddl21wZysyfYsIb
AFrWaNrXemlUJLP6se+fVQvSEmutq8oqaY+0U+wNU4f0BWEw3mN0Qymhk2tZ1q0VmrfWavlatQ3z
gJXoo5Qb16qu/ijwXMao54uKIVAmawUYfxSDdCXN+36tEPu5gTzUNAMK3hbLoDQnbRd5dbSfKS8h
wyAH9qD5olDCFlOv9KsgMiED1mt1Wjg5mPK1Ym2yQYYTwchftByxEf0D62CsNW7uJvO9yhkkn7q4
w1Xi/14Vq1IvQfSXzkWF0HWTmAXedBQfJydz5Tc7XwbaHlILPaTGAQmR1OBrNV5nVf5En0M+xamv
UPFQtbscCdxAd5LqiONj3i+rrZn4qLR9VUi3jpbCLLSnDM51dDUYWkZtAF1mEudxr2mlO10stsuw
ZFGF/05DFqHbtLCZpYVGyjkuiBdNprnDCj34gVb2/TbVCz2EBstvSQlAjwNltf22ozsLTc0yCW8R
RrgUAvbv+l8yjcX4FKfKvKUNXb43I99CaLaWfGQcyzbm+Yi+HmgOApwqByB+APSw4ENaLct2Y+de
fLVCe85Ib06uHZPS0pDtCi2UyES4bW09B41K5usI2TfLYEbZza80r1s+4gtZSIomo9brKGYbOPGu
1k/UU7hNosUtTCglZXuWgErelYkRvc9S8Jm60ncKaufEp63Oo5JsI2Rot67oohfWYwIBnYhMPAdM
M309Ak3DhNBcCvHGqM6jtO9CnabYDWEEBe0JXxrpDtJ+Fpjmkt6mdkH0QCNRXUS1ZASUgsJyaoOT
c9G2PVvVuHCq8L1CqUMGf+w7vaP5ZeH8+mBxWSesSQ991+kL8ErHDlJjZCTduHEtDzSVlXaQYyXI
6IF+ONm+YUHFgha1MIFzToNjMxopUTuamuvZ1+RwyDRkY46r7ZxNIMYaBuPAMCkb7zB45ePGklrJ
WR1cu7nNjMZjv56U/jbOTX2mIZdbIXhLjOc6rtD3aHrkHA3USR1NJB+Q8DS9mjr9QlI7nFcb4t4B
VVV/O8UO/fE1Z3wxGvuam0JXxfDk9EiGePzCbpqeYdrPz+Qc9fS1FOjhQiBXdOHEMpPqSv7WBcDc
Wv7wPU1R0Z8oY9lZydJIB8KGfSW3I73YFWFIi9qUKjQH6b+1Jp2pcOq1/pFaOvkG1m/8FkfZsBNN
NF+SiTBep1WnHfvZKa8RGzuEwbYE5W5sY7a/au1scYp3rbLalFjozhGd6uFY1vFXfkl5yBIdZCvi
6GC0fbjRa5JBJcX5AhYYmyxhtengFeeE3TtfPTsmdLVa+yhAWpmNEQabbqXL2gNSMx/ADRrYEAeK
wLPSs+ojODFZhB4VQxr2rhmdZ5k7HWaRetukpU+6xbgcnTuQgxlRaXpDAde6ndxyd/QX5k3+g7AU
uryu82/xbNzMsLmDeJpQr9hetSMGbkYI5yh5L5zBP5WSLInYttPX2kzso6Ig5VSvdPRsdOWHzEq3
DgBCWu91fjBTzQkLJxmxQzZjyKvebiHaWptqzl2ADvgKRTzZX4q4Q9CYJna7dxjJockv0kuNde+i
RJJy5XcIgBPAxKFet92twzp/3cRE8VZIIqZgUDlxI2NiX4PRzu+NTkveDDy6DJRSElmUZ/qnpZyy
g+5DgyKAeNyTk6sd6ds4B3s0q5qjILPYUI5ldhE75ZhvDWtcvsWa3x2yvExvS2rXM6CCN4RdYj9k
tbTBumS++YV92z8h5OS87jizuFlwzjIpjBFzN75eHr2+m6srJtsT7ZU6ec+yPL7l3BXdm3LCUsC4
yv8Wj+h9iR+3L8kRb1/GshRPHD+wd+qLF/hkCh3wly0ulBhDwweOJWeTDqN7U06WS5TDIqDOLeP5
0Go2BpDEpXmcGdER8Vi9WfR4PPNJxtgRRWOdgZCI441j9P3O1bLi1oGtTBJVxGB5kUn7RvsrBTnu
DsuLBoCHiSdmUmKp89qBLD9N51jH4yCeIw02q2efQ0wZvphdnO2Y8iigkiXMZr+s1zXeS4gSiNAL
Y+GpGN5a8nLxyHNmCWzMNwsY6iUDj2mbdzONft0jt6ZRXvcakSQOxLUyd8PYaMfFW9RbSc9yVxvd
cNeSTwFT2XYQUdK0PILVy1/MlJknZykzvopx3NNtL9p01zjoKuNWWOSggUHbAO9VJ3c0jNNQMif0
NV3hZ8zS/WzXrHQaP3OWGjGjtiaarjPop3tSbrJjJ7yGu9k3D9FYtQGQWjOIqzk65FPd3Y5Oy/jU
i9z7LvPXwI6RTlZJthNg0fTkYdFmoF8BO9Eg0S9gdPDkC/fcZ1/99lGb/ncX6P+SdLVe6O94LPQe
f1w4fOlffvo/27VXNN+A255v3zqcOn9KRdb/8t/9l397+/gtf6WYoQD+pY/u9NJWXDVHzvb7L1wd
ahQx60/9UZd7vzmOKTzkU2hRPNNjMvm7mc61fwOV5/BMM69EcLbqnf6oyw3vN5sZrq5/nOJcFG9/
r8sNcoZXdYvP+c7mfxDd+uff/29IZdaR8I9CGbSCwORwlkHNEvRpP42MBeoI6fY+lvHOOeD+vxJR
/m6w9A49FueovyEV+52YrPYvDqmQZT5fWXgG0jfwigK1nflh8vtBohMnjrWIpVBbEfntW8TZYcNb
wms0OoMRn5m0X7NNyrDX2ripttxOnWSNL4ZkuUwNIJcMgxGN5MzwBH5nz3uuvZlzvmmbOMTSGeBq
HOOw3ehAM9jPm6nbKH1IdpYTmUHSAr1ZxOAetbjHC9L5NKx4pdCmzDFSB9FejXEhQty4r5mOap4q
aweK0Ah6DUOa21S3c7mWIbG+xaWin/oE27U9tdmtNaEVRywxWJcGpdE1/Nj80mUTWbtk2Xhpedk6
2OB60Tx1+8kS5c3s1NtcZufMTLuLXHIrGEsYSxBNnHdIaUz54ZH9JCjrZni1hGY/9G43dUGnyKVD
IdieMyRyAjZnqJL0F8lFMGf6M72TofLI4sd0NPxb9tCJbm5CKFNR743RxM8BFj+MakjwmIytOMhb
W1vZJhbz60HzruA59O8RRkZMVbWPlCHOev97L0egSfMoNCoRX39gp4AYEps8Y2EkreS2YwmDLmzP
eUVIUpzBISD8l9atl5xMSx9PtAcqgGhFG1jk21xOaWlf6ekC99zMZ+eaZrQbCLvTz9OPVj7Nmesp
BpERLJByq83SuP1RuGUFE1dC469tNZ0PmdfvYHkh4W8zf5el/XKCYy8fmspzFdiHTgOrZMHs5mhF
1d9jsgNLNUptr4jKrK9j08J/mOBia3gOcCiEQ9WUgd1JHwEO5iMoJDC1AyRSyyO2dT1H2e7GPXNP
LKLTRhbefMV/NzYbc6yMN0dzHZJaQG5tB6f3rxMxQg3XYZc4gWoZxTjQFsBfDWAwvKpGCIVRjL2r
001rj6R3kmEdS+fRmQf69Us2MyISA63paOo9RL1th9C8duV8FsEfAqJWO+A1VNJ/pS3Mg5Q3+nOs
18lbhBb5lTuT3nawm6hZHfo+zVzMZKjYKnm2K2ZlmxRf1M7MKsveoAQdrjkhcZXFTJi1R7lPA5Ie
7Fdckt1R0NKdgshm1kAtkCW0BC1j3prpZO4yyqk7s16s24r+IzInw8Rnl0HYWAMZhum1KV0Ro3li
BD5Ehv+18+AToMQuvK3ttfWFXwC3CD0/Fo9Db5Dip5jjbxVTyRdYHt3DGPsclcyqFS/EH+CUkECJ
QsNohROIImuJuTMa403rUuMu6WX5ODhZdCOoVp4rtUZ2AeonfBN7qX5PiczQ3Dbol28pzsq7WjSk
oSB/Y+BFlBazI9Q6dFcpU61dSsGQcd8LjTyDiUInToRYEPSZ3h6criJeMKZhNpCfeyBZkaRESBPt
LR1dnEV+rBenJc8nA84IpqVN7pbMTMpi1IiGmjt8nrmXP2azxsiUtKFMh1hPlo+utxWZA45VHpZG
o8ADfOvOrISme6agGQ0b0GA1b3zmZddaWSTXZu86iia34+bBwhToJq0965GvlCQPSYDgRngSDpgN
hCxWVhLa5E1ugS2WN8wBCS2RnRDQPqbmGZowepiJZejLiAr0K4s536gnK3hqHIshbNpeqflBM8Tk
9sSTRPmueeW0ADAZweL3E59Uk/0HZg5DgZetZ1gIPFiyowgGdq4tw+XYi/Gx0JnFB4sNkGQTDRyP
Djri0y8cXweQDspxJOkLWoUHedYzJjSmutagxsPUn5xyDdVwmZyPlf08lov83sRLu5KGmB+sWjON
mYYJZASXTbKgGfTaOT4zIg3tHUaB/BJsiJ5co2sYky1iV+tYDyJO9l1hATebyc5hLqwM3q52Tb4J
7SbTXsYIlncwx+QK4kypol1XdZI5eMegwrYaYEEQK0jVwbqk2QEPTksiWJ0DgbZrrcyRWegIZKJ6
dvBzOmR7Ie12iHZtPXXedhjV0a8uR592TiABlV3wJLVf3UEjSC1v3UeVteVxKIf8RPeDhVjvRHEQ
ycwOmldqfio9pjtk9KTjpd3nHrgFeBIPS5UzpZ/zpGlwkdju95qApLsJsTkUOV2UINV0aKmuctv3
WQ3JDeUrvYEU2NcWB8RIKMyIY76TAMpwtj5Vddwe49wjbS9z2XZisdqyAMWcSrPSAQ+rDogOowSL
Tw72PrtE1hJtlKuDWVzRMZx0neLSjlRH3toY1asygJk+XXvH1Q/gZ3UyqJUXvejxzBRbiR4IWi1m
HLmeGJInHeY+X7QHnYlMw4mBnjT422DWz89MEcU9y6+8nloTWiY29S81+/O5MOMpBf5hFl/g8PsI
CLrFFTS6xYLXMXMJJzAV9msmNZw/AqHp7ddROf217WrDZTRhqtbdznmzsIsHXpQuDw4v0qvPEMRm
eCbS3VQXe9Neeyle3UeAntC8fl/SIaa50pBKAJdAY7LEl2bepMyp7rAkQkKEElYQkzy4XxzaHu9L
zgCWdntD5K9R5KRoqoxEz5SJ1ERIyzLZAzj+GPj9bJD+wu6S3gjDSCaWLVnCrUeithRh3UtaTpCW
MHAznqubwB4Wezor3IrEK81q7bCDnRhOVtHxEtAhYy6ZvTSmH13WQ/0EQR6JS0uYBzPAOsBlCjWc
wqBZwPDBlj7RoRR3YrEQiTXz6uwtidbayWTSZFhyJ8h3ntutkpoFKc/0Xhuzt04V2dUO3B4jBuwG
0/PQaJo4V7bxpRFR88D8yf7m5YyYDq7OY7b1zQ7rs0HTikgS5fbvHjHDDWc2F9wLMyDvVrdEHO3U
YBGpixYwItd1Uhlvp6VoIo6j1fLQYP7C8OWhZdt4atLqkxps+wlbH09USduLQghyS2DrbHttARJv
4y24wTds8MZ7m0OsZJ0u4ue0BdrKwM2erkSaIhTX53LYJukcoz3EDQ0zZyrnY9qkGvGArUI249jg
rPLWW5nIef/VagbkLZjlta+xJmoRWN2cvZAVzirgmyUNHgNM1x3RIrZ9iAdJbWIby/gw5iNSK3RH
Vodh2rL8DY8ADr08y+b4AkyVdatXxeLtilGMxSZdiobwQ6tqznphut/LCJLexFjW8/MibBtJKGAP
0c7Bovg0gqvdONpCxUZb00BYSw7BoK9+2pUbuaYDLxnuXO11NmL5BQRaBf2P1pIG8RMRHxHkXrmz
U5KaughlDo1GLkamx5XKPNiSwknC0kJSpTkzAp2pOsS+M2Fuzjz7JpOath1L8hDMri2AB0Q2W+6A
ljFyGDK5yoPP2ZavnF2NJ55E652Q1WzbggrgDQOIcO2qtgVbiGqD31i4t4sxpwg/ejJitNkAGKVG
7h8vxeNkjyxXBbSdau912fyEH7O77xD06WG6ONMcKhF3Big4qd59qsFXGyY5whmPMU1QW5HeBSWn
m3fLw7LJtDpJ7lFa1Gyx5CddjJ1FT8n8yGgxeQo3eToiwzXUPL6nGqBduTTl3biwqGxkFdEL1Eo0
RpsI1wBFZd9P5kHZ1uSFgCjnI+BJJsMNYjTOAey0CBZIC3Ds2UrYxqqmuCyp5sswX7JBP3Paot3G
hkjvZN5ot/W8xNvFBQ+4lC4tHWLd3O2I5DOo/YywW6dRo76BUKcd8yJidjHNaUkDNxE+KshhlWJE
4IA2bJRFQ7rEUNhhbTSwB+JFJDDoZUOFpNkzt9a16wejL6Hhp3outiqX+mkCDjpse4DJBEujLXma
led3x1JTyVvuol/dNC4Zg5tK+30SgX8OGbxZP+qKeNMRyd53E/DHYcQlIM9IXq+eK07GhENZbfaS
2XWs0ymUzhXQTub4lgYRDS2GbjDHGSgP/conZFVWIJ3DYYxsFgfbMOE71nVz03ojjMu+5DHctOlC
ga00jjmd3erXTHga40TvGQcyaQ/6vYt5eQMh5I2+8UQS0+QhvmoNF5LZUNInPjgiNgh7GZ3LGiYv
MrZ+9JmJlp5+jNC1r8uyk5/1mdNeg2uUSBZye+R7dDjmIUbGj27a+tnoxY4MtDr7LlxGLeTW4QLn
lOzciKw6GR6q7pFud0kD/3JK8geGHGXYc/ja1hbtRYIu9mmt9aFJQ28zmuKq4wW4SrXI22KEkAEJ
zEBZGR6TZzt0dCrdPt8qVM/wI1OmB4oJEFJhfZdbYMjALFY3I0ZMdH1tHfYGVSPd77mNuMxsF+c1
2Jkt0ckM82e8vvOUCXBi5KFVdXEAKMnUiPoyxkl/XYlWfyQ22exYYNEHl233hChUBX1qituB0SVR
ABlCo4qc6ESbUNM7Shxqe/LPIjcizWWUZoxwRvP10GdoeEJ9QbBMm3qI+9tibenV/nFBJ2QHNfnc
wcLi/Yajed94evcuiSi7joeh3/QDk/oa1OjRpWv/bCLY++6xgQYuN0i1BbGFva30ZiPpTjpbfmOu
XS+CMWowWXKi4k06eV+2vX4wm8iTm9GfjXuLdLVTgZB+wxBAHpCBDg/SbfKvEV55vPP6jBlFuVX3
1co5BlEApIO5qyJUans4j6PHSmpOYZ9CbsSBKIvvkPfa89lIqCyHxGcDyyZDpxqQcz7uioFqMs88
/wZmk5ftDK+BdeqMA2ccXdLLVimEFI6ZVAphvu6Z0pMprCMJYHPjjdbIvMMS3RFNJMtOz0f70pOu
PsCdQA4D7V/joRhQRjtIlDkm7OrMqpB01AxpA9qZltrgOhJfe9qab9JJzSi0TT+fQ6/z/DN/8Cef
bO6xQ3BQJRTRo1WINw/CcJjSyTl1EHsumfMsDA31hMIUGjBihdLua4CNTXpDW6A+9Mqybu1eH0pC
8nSWxMgjMg0IZzwHEjM/fHLCmZw9fWQO51lRDSZWGFM/V62UByZPVE+9l7R0cElKfMWs4PX7/7et
zx87n//nf5KCQdhr1/JfKxhOb+1L8ak5+vEjfzRHXaQJ2Ifx6gHIFe4aRPH35ijrsceB0nBMLLku
eoI/m6Pmb67O6YXIszVixHfQUPwhWvB+A6Kv0xw1yK3wXROL4X/QHDXFakT/sT3q4kR1DHDldGLp
9Ym1iflDk9JXmTbmuZFvESPRqKypyVSNwD9AT6rOq4z+Faox8ySYOB30Eks5woKcvJDSl6ihtP7J
HqkkNxXquWeCZEaHB72qz4oV3spQNfdcJpx9tUPu613pSS+8s0GIMT1vnaZ+tRdHnbqK/t5RIbSh
iqtTNexicqvSAHSMyLc9KyGStFTCusk4wYVJWcTfsXk5JSIskg1Cz8racdPj9mmguU5TBTkhdx90
Fux8W3FYOHcWPTotXdMq/F66eGqW0XyKXCgkXaKNV7insMkMa4tPVHp8HAxPAErIE9DjjIX9o2nA
FO2qsQLbo+n4Bgby5YajSQVJdCf6CiZtc2Le6RWHqF0OILvAYUi00oYYZVq0Iyy2CrAZjJyrxO0U
sK8EMsAaCIe8t8PSMF4JgDHduSnsvqMURQoWgP0HTMCJZAKTQRmhB2lWEn4Ei/bcVFqKcjqd2/Oa
nFUHVyOGpEBg/ObwMGYzpRceGkTRJhgmqq2iR+DXsyONjGVw0o0yf83RHUoGxYqE+LnLuYCN/vdZ
p+a8yrXIP/DN2PccJQZI4ExqOcr71yZxhv0m9bN22nadXj+YlsXMZcnKKdoLcrePsp2IOGfGPT3q
Mndv6NKJV5Y1hpcKMRVWVAhmNARjD+XymIliq5zOfGpUqp4oDGwsQIXdeYGnl4y8bNdtTlmp8B4m
JWiIzGsQJ0sq9PHMnvpkXqHZHNw+Fk7nYxFV63qarSurs66x3cdyO6wrLzsLi3CTrL1j5trjJfan
hCqK9TpGukFs4LqIRwvxcwE9Ghb3Llr8M3vQsjlsPpZ/3EprvCB7QvOxPZRCt0imJol1wuOwbiHj
x3Yyf2wt88c2Q8QpW45ad5/mYyPiINcdO6DyOb2pdatqPrYtXbbqXXxsZuxIhFimH5tcKXP8eua6
90Uf26BuVdFNue6NZNCxTdJy4x0kKZ3tkxkHW2lssqs2hci/q4+tliaWHlSRo9qQDiI9EZT5iQdf
xurLO99PvbDj9IH0fShKk6MO5WH2KBf/kjh7BByqHcHuM4yVJ92kbQAM9VDMuIkPeqdnj5U56nsI
asvWTe3lPPa7giMzG38zmVETpPnojhczIRzGjdGm9WM7orEZ4BsazgDayLcQph9tgunu4iTbErQD
xBQQWLfgeuJJaeAPX+jKS9nByRwauQDevI0eaan8BltmOTcHXCIBEwaA3xr0rvkRtViD0HKeB6KC
rXkS+W6AKNBy7Bsy+o9llqffIq1JbkdViW95MTYo4plBJmcjAuXlKs0LYw4MXhlFAKnEvkPVOnHs
w15meWcCW8VyZcVUlRcabLdHAuNdes5W71ChwL4GWO0kpnKR7s4s85uoS+jGY+bFgYD46wU+z4n0
hgyFD+IIehYbmuIWB2eFlNhx+Gs3/9uR/qwrqfDRlZO87syh3xtS5rv/v7n/W8NP3PtIBf/15n7+
knfJy/fx7U3+NP78/ef+2OHt3wxz1SG4YoWCfgw5/9jhTRgChi50kraALH9k/Py5wxvs8FAgfBgt
zCTJc/pxh6eDBX4JuaJr2ngH/5Md/pNllk6uj5LedXVDCNOjcFiDfn7Y4EmZjZgF0lUWY3n0S4Ab
I2KYuGy/ksOGwsbVw1ysKJxW7SOP+RNdyUc80fp53Q3P1ph9UbK9FO2yOvwHdeib/pooRUZvwkjD
mm0oZO5EaI1TPPceOg3dz5/JkeH9no+AeJB8KSFxVJNsOWZXP3wbfwx7f8T5/ExB+PjjPAszsG55
Fmwq+9MfRyh90i8zfL+pzEIIJrs8eq9aea2Lv0pN+3wlm2/SYaC7Ri+hPvWZfv94G2ONQ/CAqzXs
DIR4ZANlRCfMfR0aMg5//UdZ/zCytleJCbp5dmv+YX6ivyIuGksNZUZYieHVjQC+MQd86mf07q1v
QJar46AQA6kKjZAhzcEu0IXN0DZuEoIsx/6wKLm3U9jneMyqqrzQHHMJHad9jrXxVAv3xWQmwpoG
N6H+1tLFC5hpQkSrmvPZjhF6QHEgLVZH/gST3MJRFxD/OW1tPR3DJJpfxLB8aZqUDp9LjymnS/br
e2Cs39yPdSl/PKAUHV2BcChQzU9u58hxk2G2CBeuPW+f4EkwygmEWNIDpMeGVD/LUqCgGbCZ087h
XLSxh/I7TK+3X3+Qjwv9/EHcFeUEGgscsAfA/ucvfk6Iji9jpOKkqqPgbRrUYZr77MXdiocvXgk5
OdkZrbCiOLWK5AlnZuiXuXtkfMWm9M0bS7V3q/drcpo98rOXJYu/ljOg/MK5/YsP+w/VvEDiwHtA
nU96OEvIzx+2yshZzvsp2eo60bkO9gJXH+/tQb9rNHGBTPW+I0I688VhmcQ+bfRHsI0cSm0oG2iP
2wVbNoQoF1dAsMCpYvh3P0oQ6L/+nP/w7bqCQw1KESDLNqcb95Mog6rMpaXsajBQizuSPyCalTTk
qGyvxvVAENGXLDN6drbobRrKy9ehWe7mkhY75dmvP8x6T378gj99Fm+9pz8skDg2jaJwAdFH4Lkm
SbA47HWY9BuUK/vuLy/3sSZ9vh5TdN22+aZIf/v0QLlMmr0FMERo9ZS/QCQwF/RtCPiQp8K+I9rY
3HlzWYdDrSUBPZT0mqHXGYesr+6MiSYDr7+NxxL1gV89R4rZIRDkMuvuyXvPT2AXiNOM/AkLdHrj
U0GHlDAbzVrOEcvZh4zY9I2EBBmQk0bcSW2QAq9OnGAZlDAf3tp2c140WryL0HhtpN91B6a98xas
64Jjhx49c0Zr21vL9a+/iJ+XWBfktmA70AWjdzDaYGB+/iJo6xdd3fNFoPLeLna8y+TllHlAty5+
fSHzH18TV18bWQjouJC1Hq9//MqdBQAOtXCytTKXVPX8rXIMOpUe+OplJVP5XfKUTeOd3ZBwr+Zb
aza/RF65Kg+jr23kBZXTfYf+uKn0NS8XfXvfXqwDsV9/zhVo/unR/Plzfjqc6/AkY5PeM5IWQYts
3DHfygI9K58jNuiNqw9DiK8vxYeXdJtiqi7aSc44IpvnGNIdA9gFYrXdkYoGo/qAEm+4IGG3DDNz
zA94ZaJ93Aj7uKD7fVSjXQey6S+HmsOGLRURYz1ARM2UYHwgWwZCH1CZQ8SEKmPD0xxnEqWatNxC
EFKIPuunqc9eokSCDpLj/HV21KOJIjFc2+PvJRppVMMxMeSqiU+VqJcdwNrHX9+zf3yIqHYcm6qH
bZoe7Ke3Oe99yg2r8sPYiSCg5CyCQ5BahMFKc/frS33im60P7EfNgaCG/g1Cr0/79JTpjeqs2g8H
c7GOSi1PYFysk2T0/giwApIvc1pRzRdd/B67OLBq1AaAN9lgx76GzT4bgi+FVrnhz3/x4dZr/7zK
MNZ3eGsR5fE2fS77imwgaAxiC7KU4jjHO9fRTkvz8Bd34HOlsnKuINWvmZSGS0fq0x1ozZzhMwNx
dOoMG6dVGe2keRg5wJjSZG0qqNsxlvKlaJyHbJxvnM6CS0Vgr2tXRFgspUQvnVZbtF7XKOCT80Lr
MWwRTPgXBcU/+6TCs9kUeSxWceHPr3yPJLiYHADrnqhZVVJMLBk46YS+T4w+nvBCd0dE+8mDOvDr
m7Sa0X76JmAqoY4kZsBhV3Y+LzbQDPqljmvQ7tJ9jEaXJQaJq18TF2LeDjNgX8RYv76k8c+uSaoA
zSKfHZaez89/rV/Ouo0GCuBQE+05z4OoSuV0lPQbQzOltC/Va5IPD83/Ze9MduRGsqz9Ko3eU+A8
LHrjpM8eHvOkDRGKCHEejMb56fujUp0lRWZJfwH9LwpooJBASYqgD6TZtXvP+U5svqSJ/aKjgfJD
5UvbJJEfK1V1dsfya4oNRKscuk53v3595l8WYBISqe8ocB2YaDxFP7++UREajthWCbAKBiixSYIJ
N2HK4zIPMRTkbIYTxk3EsBbvb3zoZvuzrJpxQ4DfcwPXAcq6eUMn6ivhoptiVDcRCHji7ZIrSF5b
aIJsVRXW3bp6Re/prp0u2vQIzvdAXrczaqBDmkGtL8BATGMHCdOS71Oh3nWT+azJKEBVvmEgsjGZ
O697g5jLX38CzrLL/3RXLBRL1XAocnl2vI/1bZlguHa12Alk79zphXWNJnvnlL2C3G/MITm0zVpa
8UU9RjkxUvxJZZXYz3O5Bk5/0zbDDR0aNgMFIk+SmSSZNGzwCCvdQn1yGPYEhYdJRTOaUySX6J6J
xVuQ0tcMtrawg05OZA4B+nHY4lUJQNO97Q3vWdOTC41ggyyHVJGyG6RTGQwqXTP6HW/x4r3qdHFu
uiToeaGaWlzm+Xga0/SU5TiXsKm/9G0bKIaBBK4ctm1rX1RKthWcQdYjeUVkrxNDaZaYl0ZDrCtF
1Yj11nD0FiOpWBmZPKb0CRgg913V8OPWrwP5b1X+5ECjT9r333wVf/kmDMplHk2Odou78MPK0Nll
WDqCjCRD98W8s5xdX+0Eipnqe6X5vy0f/zeajui0PLiz/3kD5ap7YyV5b5rpx/7J9x/7o3/iYsNE
JE7aCqc9dOALfPN7/8T6xE6+rJnfRyT8zf/0T/CCmjq7PAJrG6H4gkv9PiHR1E+cLMg3J6GdHYnp
y7/SP/m4b9gsUS5NGAdY5/K4fiwV/2zAYQR7DoFuSJdmCQxPBx4i2SWZWBz4nnMigun1h0/q6o/F
4J83N9B9f7j0h+pPTzUny1RJ1ocJfyKKJSm66byrs/DLIMgD+fXV/pJsv+zi4BPpYNEsMHX9w5qc
hn3KYQsGRp9CRYlE2Poe/shgdPVsM0noCgRBbPmmxTrPO8bYTk8PvVatoLe7J8wmhEjO0QNYjys6
oRckcfhGl1urVg0fhQh1Pqo2WSVVetRwpK9//erpuH18jHUqPghDdE4sWK7mh8dYbxAI2z3SVoRH
rKQGQvNV1So0+3tzwkY7kw9TT2A2MmO8YuyV3JqkA+qjUCnfXLlSO/GUzTYQfVd9VszyFBvmVq+y
L5GDqhTj8p7OV7oaB/6tXtDcLRc/TTRA16xiTlPuJPaR0NU7pVRRKIZ5swOFE0x9tHJmVOiqn0Ia
6a34xrTSXTQNXySrZYYcs0fWMoZEh0VJdo3B9KZGXmyKNwQZeGHH1ecR+P6WkMApaI3CuajIoIX3
VpPG6XZLMpUN6xJtZGC5vJkRhIJJ5O1WR5Z+Z2fqdank8B09roweKz+hDJxe0qJ1tohjRpp6bXPU
QWquTFGqDtxBrwlMrUuIdXDoD9IXJx4nI6saCUsAt9E7mHhnT66bzSvTS+XV0IcmhhxZHlpZuZ8N
VXdw7yTVpYuFEUN9DW4RDebnMQu9tTXE+pfamvt30D8qk7bjoMfDeVCRva9UV8oNEVnVxrL1+VAS
pMDMYWaUVGob0onqtyRJ35KosveoTkhz0MWwAZZ3rci6QXMcH0ICuPBFHQTGO4gA+srhq7FIu9tp
zOv9Og2T3VCEZF0WUlyAmiYvurpDLlL+BlitswD9tMG7wK2WR5jeL1NaHCj8/Q9tBVJRNFG3E7FN
eV5ChwPtVC7HqzjzSzeqt5SLxl2S6ONpjjvlc0xaG1IMV4DsTERFkLFxP+q9P/ch48yuc9/H0p1u
jUzNtxKUp2/jUb6JCSB8hMbQXThjqH799kz9b29X/9Tt9O868tdtWNw/LD+L6eq79+n8Urz/139e
dWX68uXnDe3bj3wfCNif6LqzcekGJZzNSPrPDc34xArFJIDGF+s73qg/NzRgBBbMdsfjtMCWttwu
3/cz3WMX1JEPoE+nRWKr+r+0n33rZ/1YebKf2hxYF66xxf+WycOPN2YURQTOIOfedl0vd42WdS9l
YsNldWEqGrkij4NQpyBXzOpY9m5Mz6eM9s0Ib4lBvOYjVHcf3HKy3rwGPirsfJLCNdUMaO+PRyUr
Y5o3CkW8ZYUH0kLRRI7zC97RqwqwnNERim6PxVFRENnxFKNPr8KOxnZyhnnb+P2cPOiV+RaaHQYd
2FmZrMVWhxa3SO4pDkXN3jvpbrJOUke7z60EaziZyPnBmIn8rrNpviw1p3jtMhbd5WD2ZUqg73C9
4ZLtXNnophLxrNlm9IBTGlgOuDzfZFIbNF6YfbYKEhyjmauGBXBQhI15/darRg9up4oeTbzfe6Ws
jIDCHsF7WVxj2a9esiluD6k2FbBf3PGyA+4KucAajZWUFUrlrBq7qxh79k7J7PJYRUOHxUpaTI1L
GINxm+qETSAwb8bxNkmN6CxjpHM67f4t5IArnWDt+9ZTo3eRJ81TYg/mdaEyyq9U17tKXGH4Y4PB
vSBu5pbDrY4rdXpInV5cxVB2WTqEte/4rI9tESYnSJLlw4D/apsAukYPTd4tt4bfMF1/YRaanON4
Qe6CwdLQ3w5Of8tqX5ydGreNSQ9sTgCOys4WTzamLIg9U/1qz1j608mdQXiNjzEWhyy26Izo2Tqp
Ne26h4uwTpAmXwFy9Z5Me6xP6E/No1E0i4l0zt/MTIUflGFDWMk0ts5TaSjncq6XLZpe8ivzUbGt
F/KSHGPCOONmOEDuC89DXoodK3lBYoVLsHqp6Bdict7D5qjpT6A9VewVnncrlaI65JaUAVmQDqiF
tKvXKK0gIBUEaQJs1sDhkOOanb14Zl6mzNO9PufaZZkjUInMSjwymZ7O+UQWRqT26mnSRR9EosDr
5fRD0Gl8QQAndKBiSHGrVVzVcqfGRMR0RIQiIbG/0m1zgQc67VowT9/YJM1BzdDHfcsuc2bYeB8R
dBx4mdVu6JS7G/Yw587LlH4DsTF/sWOF3pJEFwzyTkHXiNBknTbA1cQ8TZu5VLDoT13lK5MqkHxW
5M3PCWUk+KmLwq5IB0dXvs1TtdgXs3NZjs22MEqMEe5cX4RuaAZW6tI9sxfNY72d0STWNCqaFEdI
PyGI1qsvFtHimkkWW2SN7qru1Oy6hh24qTFbbzOJTZrIH3Bxjb0lqaakuaK6z1kyTgQOqGV/TdLX
cGOX9bNpF19KNLzWLE9oTl7JgbavZg7uu5pQ0E2DvJ7FZ/mNUFANwmqIeq3nm0GaNy6WQCxGTRtQ
ZE63kYc6B9UfpEn6KiTUFm/44c4IX8nybkmA1TobwTB4NMCRA8ZrlD3bJrPVS8hbrV9NpXZUoVUf
KuQ0666tnfeWNtoG9bpx0XQGDxNl9DrEkngLPJ5PdTR1Fg9v9GW/eBVAEgOfyMu1q03LWHWux8cI
DOTecFKGSBkVDoV4dRgdJfEdAOzbvkqnPf5v1BwaddxeztG8DQk8uHKj2dpEDqyX0IgcYtcmkjog
oWNvsWLfmjEHakrcbjNP5GsldKC/Tx1Va2e5y+jE+FLTl0MTlVUTAV6q5hdqSxZrVoWPU6nMPtbX
+tR6A7xZMZbkrQzuLoaD92WwyvZIpab6SOjVGx5y+mRJ7IQrykE7odkwGPf2H3yvBfWVfaN+kQvv
niXp5rAREsCwaZ8ymwvRnY5ecW8MghTlKdkq6CqYGUoyvionYMOwnvpSue4WpWTCOwcbSJRXyXxi
QZPRP06fmoVXVuRu6qcTzvqqYiwQNrk3rVLdstZGQ/tbLsgzB4SEjy0u2balpV5JJ19nKnmWcQRO
BR0uEn7n1KWYx7CFYQY1zGM6o68kSOW2nPvxaH0jrFklebMxMYpB0Q1vmWtku4Fo6iAM+4u4TK5T
hHRBlirjZnbRxidSNTct3fYtDJh6a1is4NaCeBtDGhxdQbXrRe113Dv3qV23hCHzCzBZ1NNTnbJs
QKYuUmvX25hr5MKTU+GnQNNrtnDqALQsxDlyjq0b1c77I7/dz91+F/bRc5ux6ufJnWE4ZyTkNFMg
16GPK9ayJSaJfGXFjxfCHWyK9DAiKNtjjhd+yDt/tBYmniTOKEiEm+3ZJXZlG9a3ETCa7SS6EL/t
N6JescD10LBGR7EA90jmqo8VSM73wgOTxZ27bIMTh4wF0Sc5sAfODO9C2gljvBEDtNo9deD9oHUs
hOT5rBURxxiSeSOeFLwxCxbQE0kF6SZlUUXNdEAis6hp5ckYJ7+gFF4YihrgBWNbgRhsaOasWpEa
2PFgEgXa3O4bRojj6NbYbt1oxb961+REdKFdZnyKudSbWwNyxKl2353RwKbgTOFZjOBlhtDSj9Y3
/GH/DYWIDrJ9mdmG3tNZdQPiivMr7RtDccI1yPaW9vMdPo72LvsGXvSmDFLOkCfiGsFRG0y11VyQ
Rh4HVlsQ+Jfok/rA0pMilgC9LUUJuFTHMKzqUB9nl0DTbmhSHx20faugE4Q+Ms0FejqMlIERy7s6
Vtikid90Fasjb9hVHqbEwe9XUaJEav2e1+N4VxOvB+rCsTedmbN7G0bhXbtm9TA6/VVVIjCGlX4G
V7SxOyTdrdE9Ib++bzi+oXPOjGv6KgRvLyhMtj0YdN/4mNOCykwxNqwqygpSjl/J0toaVbSbZXJs
E2c3tEMHgc/kpDObBcQq/NWImXsWDPwrFfHxG02FMGx1V5Oi3mRq/MqG9jA0/Zu0zK0YMRTUCwgr
0kzSxlLGsNY0a+y7VGFhvLagcgSpPU8XtTRVP0TSFxiTKc5M8Ta5FUZxMIyODLzY7M7RAt8i6BMO
F5mGZM/SiL1j+XVP0zc8BHxOc00JX+41jarTjM94kpOjsrAqkx66hCDg4Zoqbrqt0pxWZT9YV5rL
uKBI38Blst+MZoetCpOSyLsLO5XVQYmJN5UWUZtoGQESIU4/hHrSBpoBvtEAA+VXjfKCxbneTQJO
3uACAhxDQVQm8CK8a/YYVHNsneQQYqpXTHFwnV7fwV2KAMimx0IZxTOAJecBfYEbwCaNQSpOCkaW
tnVvGiSEl16oadshrV7cHKay5TUQedh9MKHZe6FAtpGifRJ28yL6ygoSnen6VIB3abP0EOI+fbSw
cjyVJAeuExEr96XZBIW9nOCtKQEwzEf3PgJCBO6o2df4VSJ/TEtCKjyMDgcbACACIbHjaMFkC9cr
H2oRncjwra8cl00qIh3OaMvuESWHOFmJ2zxD59WCzMLCvmpsobDwGDFSoUyS0ygA2qRJ6MdTEfq4
omHPgiPyZ/wk27rvwnuyDMW1GuluIGIR3hhNDbeZbKg9NdhwU+l5+dhEDd3kYjBxZFnTjY4HZwX6
O3+rCg3TRGKXXz0s9tsR37fvCiroGirtCTbFvETSlsVLgoT2ZPVzaq20wdWPGAiT2yiiylsptkge
JH46ltoax30XRmctV9UtBhL1rDk0nDrAt4yXpNyHC9QdIXD0uQQzvgqRfwWDMhRvpui8s+LW1sOk
acqqawcczChvnj3igm4ynLa3FaOQw+C65M+nWtLz0euwRTkJYIMyU1/KZXMt42uZmpuZQRoFm5QP
IHvNnSLH4ewYfejbgyjPpmzlsVAtZz2H4ftAHsQ3NI29KfNpCY0zwg19MBeuc2Mco7IwbgYIYeux
1cQxkqlN/Wlbu6m1oClZbG8zzqL3ug31wOMAuI8nt7q0oyQ5w/NKiGMh3pe2ojhUIPzYNUxvg8zI
1aBmXmXKQFhCRGXuJp52SBQNp53upWd9bi7xK+vYQC2m7k4L6WfOaB/WurdvaWOerKHJvvJGxTr0
yM8A/UbTjZxG/DP59NUK59cWIMPKVRHy1gg3A63BgMVVFqEQfJsiJ2AvjKNzn2VUjpp3oaOkDTBs
9gQXWMljsih+h5k8dxcXZELI+0XdYe605nRTqiimKl0Ox+WQj/eifBcDGFdE8ceq9aZ12JB1VRMt
/xDHugLfAwZ+EPPMBXlvtysYQgA3ukY7mZRgvtD18j6igA85y/UPkWrZzNXV2xTr9cYMN+4QbjXC
Zg+ExVyngx040cDiMlGSq+oGNOAEkX4WmzbC84XU9TI15RduzxErTYEfueoRf02NDEQryJBGjbht
Zpqwq0wtcesa3Kg54PS2wdbU5fHzHKvniPVznWMbWGqDZFMJjIt9rehrznnhzmWqHBA13Fz3dZ4E
BASIXS+9ea1YC5DLkulB6+uS3mvhXnbzZG6xHwtkE9FF7xgIcqlGSVGDFTescrpnQZyluk42cAhw
fvb0R4xf/mi6vilI+u1zUn/9qlYyn8J3F1cnaCj4FKJ+ONHLQ8XsKmN/K620fMb7ycNjwJYjW6ec
lRVBWyOixFiMqq/26XXRaMrNaFpFC7vX7BH4Y4hsKTOt/lwVWXlO21SDvV02ZwRcHHPJvvBhtJIm
MwPijXxN8Z46Yw4fdA3urug5t6zaZOJ8WpQkaJRNpm2hDbdbp47sm6Ycs8PU2t3ewjoJO8U0t12v
N682BA+gBzAin6vKa1/HgkhSWdc8jD2LJx+NRzqzVhGe1rs7pOrTqrfxJMGib+lYN+YTZ+nhoYeH
e9uKwTwThkO6g1ZW88pWm0uD7/RaL3ReDG6gh0gf3us81dechGCzq712CX4wORCQ7vmmsWSY2hb0
Mlkq2iW7rbYuyL7jyEFE4TQpJyUFO5nlqHKAtePe1YSyyvPF26AnFj2eOeWxVWvPuXXyUVl7hT5Q
cFfFBRr+td4spszIYsXqo2RH6Ht28Bqj8b22ukOZ/dLU5E1MibJKh+Qty8x07whCWYkN8eHDCFC5
46Pk8OPyDEMHnS46b/oMdVI5JAyAr/+/9D3/jcZ0Bs1DtEX/fEx3mxDaUvzY0fz+I99HdO4nT3eX
huEfeNVF5/HHiM51Py0KZ12ld4majT//PqDTXVTR/IFnoLECD+XQUf2fhqbziWErR30DkRfKGQZ+
/4KFaTFQ/dBoR0dIwiCTQ82jqYqgy/qgpwuNGNcNROid2cfAzJoh86MquTBBhx6cccBAg14gMBc+
PmT+8T4ZsugAGdpbCbXFsOwBfyz03qWmlZzwOPHflBhU9hVUj4vCGePfDNqW/uo/+q9/fb3LIOuH
wQBsSbtN3EnbYRIadpNJy6/W6cAxh6ZqJC2DfpB6gXAv/I2cjFn2by79YaJIx7OoqZCmXRJJHDuo
taCqC3czi7Fap51SBbOXU39ohF1lunU5YuFhs/KKwHM8JmMcanbTXOIAp2pZVZ6gedvEl7SaGUPV
fHq2MV7mRhhdhMjmSK6oCK6C7bKTcDhrWK1NnixJ7ViAyJZlZAMRp38i7mQCdS4GcVXFBWtYW3RI
EdTolEnHZdEZk3Ve68Wh8NTqwuq85ILo3OE57gaqa6WuTomWA2sq2AKbul2r5evUx+qesctWaVM4
zl5Me27Q1HtzICbYITt5mxs5lowxSjZQPV7TxpNIJCq9e8I9qm7jUiEhviI1KcVAtG5iwu0rPb23
7PASg/u1SOtmL4dgyJUnE9v3sc3T4jCl3qOcdWVrYZNpJlMNptjWT+kcXYDSonihlRO4E+QBq0u2
xkDYWu86L8SBzwFHjBJpWHqgTlNWej9djmpsbaTI2nWHGtUnrbg91LjbkM9Ra4UgHKtwNjZjo+6a
qLrLCaIhx4COZFMHPecnXWHPTMXB1kJ4MIYqNsx1seVHBTlzs95vaaKYa32oidMYKX3QDFVr3hjc
m6Rusdjb6uchaogSiQayaUAaTjSHkuuhgx7DU7NKlO4YTh5jX1enKxmPd2Ov9NdjMbbo8TFg13aH
k2+AcxMrd1o5Dmtiuzxa/XwncVXFl16HkLQ3jPzEuY3BLUHF0rXDvVva6rZN4nBv4o7yXR0irKBn
56NVAizSweLsR2O+40AE9jBaK1Xf+31c7Gejgb8aJzkyEe7m0TKUDc6DaoUfn8Nw1k3HIYpV2oJt
ssVu+8V0yrs2a0EJ6dZWsMd7Mcnk+Mal3WGuyvksrcGEX5P1O9toBz8jRNkvHTCoRGGBLCErffCg
lvQeBmK+zSVmcWtbD2Up6aUbk7uKLQCiRt6l0OYUl7yllBmt4MDnuOlWcEoh/FA9KhH8RHvAD05g
DXjiunWOU1Vnt6mhKQExcJxPzNulSxhk7qj4xRSjVO7Ss+2OyHhjjhJtBYq4TVVENIq+VQZon+Sf
QPuBiKnTn6XdQ6M224vCvUlcxOxiGu/aMTlaNUlDbXzuhVZzRJ8Dmv3rUT6A1bh0hCZ9R+1uwKe7
9zrBuxvUhutS7V4yzNA+hr+LJtODqSjvpNKs9dHbiLh4hci4bhkRBLmj9VS4MvZpqJ69yY63GsBl
sFbXCVUsvorL0YkOaVjq9KUF1rOQrO1NFNpltaqMSn7R0IDwuZfq7SinjWSufaNIFX1ygkC8XHhb
PTPtlQouq1jpo+G9xHnC/+dt7cdZgqjMPZNoNlyBCFfrfEMPCwMFEAB/FEa5a2rCcPVMR3qFujxo
isy6dkOd1kUPInURee5yJYoXtnND0aveF4xtIUuI4Qi7p7trPIzpM7TVlUEeznaINVqbuUNbeigd
9aQ5o7r3RNfciLDoroaOzLykgssEHp9/mAIEgkARE5TQqCeAuJf1NB0a3ZjWlp3dTXCJDlnYsj9k
5gNms3jd1FCvoPhpJCEipECf25x1Yil91aVX1Jo52QYNAoU0Q6CAfDvZR0sJnCoE/ykczNaOSl/G
q6T1VFBBOeHMepeafjG76a4cCBMCmz7vcPwRcaFVX52o3KkAK7dAFnVf4cC0k17ybNCZh0oTXpNP
RFs9DpUNmFdYRj0sjEFJtX1Rp+WZM9rND6XJ1V91Mcvk/MMGyhRVtzQqPQQ5zgeJr6aYsaZkUttV
XnVdJYVNOBFU9SS2jr++kPazTPHbVv3TlT6UFjgpSshnkbHrow6Wbei9a7PsVxyLKh/M1Bdbp2kx
WuBivWXlrQknDH79EoyfZQR/vATUTyZOIExmTId/rhbcqiTtQM70DbAH1z4eFQVZjRT4kskSg7lI
y0po2W071+0uKxU6YstKEvccttU0FEdvaJFGyIopXdpcozfxAmZmi+wVFNDZIrN7l2lqEqR9Hu2S
sC13+jjKNX4vFsFSPTSCNAmOMl/pwCHIQ+LhF01xzetQ1lG7OOP/LDv/H7/bH9/uBxUP+bBgszNL
I4JShjeyGQ1/4mgF/opxxa8vxRT+L7cRod7k+PIfUqiWv/+hDtMG2lgtxllyTZ2vrUOq1GSZnw3k
XUFj1U+/vthfbHh8g7j//3G1Rer/w9WUhLP7WKX6jhw1EjUt4xGSRrdPh+hNSzhhCjtrr7o4j0Ea
6/OuVUaUulkNw8KO2gsvBU3ONxlIHsPcFiMMwg7mXLjwd0f0Q0nCV5hZgxowR7YCfSJNUIVauKqz
hmnBqPHb6KStpKGcxqUoEUt5YlKn/Pp9/uxY+Ha7UvFrNpoXsKvcjT+/zawYbFVhH9nZwmK8Yoeq
Xxh6RulmK1dJr+j5qhN59puv8u8e1J8u+6Gm1lu49GpF51YxLR6NxnpzMtLlcOZnq6RRlUM5jeeQ
qeRVvlQ5zgD79ddv/G9fAosShlJoDy7zop/fea5qo6yLBJJkAjNBsiUmlrzA+hn6YWtxWK7tS8Zy
1JuG/ZlVX2x+/QL+5nb2frz+hyenGzxUBmVk7tq8+2zIZDy3ZWgcCmFzYyvRb+RNy0nhwxrMO4Xp
i7FUx6b34d3GQ6I0bQUE0jJketIAdq0SCUHi1+/pb1b6n67y4T1JQF99TtzKrmg5+A+8QfoT5rql
I/2br+/vrrS8FTiW1gIz/rgY1F5XzrOt7uZwGFaDqz3mtrdnn/nNO/rb2+THC31YBzh/QF3NG5Pd
hNFyMrSXqe6YWw8A4CqZOuM2i1qCbKKlPBZLoazXbf0b/9PfHJmxszpIPF0V1SRn95/v1RB8mHCS
0NiR4FTvZqYwd7VuavskGY1dbYz3Ve1lQdQzc07I+vBFRH6js/CwnEJ5UZwkW9eIG8VSXZTHLCoe
7cZgQJboD0gQqt8cmBcU9IebzUSZYXkuTQlesfXhNlBgl4bF3PDSMKohPAJeHqvJFpz+Qi6cL0bP
HteoD3adjEckmQmQY5IbNsmYUb5bJdESkNyDpi/3lKnhOmXgUNScaaTCJJpDxNe6HqK9KpaIAybC
OH3FQtzheDa59KwUgt3quaK2qkNBN/IdCwWchQFyrmr35klK+UeJ83/Su7upRkD38lYkhNJL7CSv
7U9dJ548Hs0/K4a/SO/uXook/4/zy1v3Nz/2vVmlfsLRZziujsWUlfgHPbn9CR0dGUD20t3yfiLu
GJ9Mj4ACpE4eYk3Kyz/bVXS4nEVRjCgaTy1Din+JuLPcq/9YOPGMeQadNP5jcTWWmw+PXiMMt7NH
IssZUl0RVwokVxGfCxMydTNjp2uzgynHmVsZfOMPn9TVX+tmtPkfLu7y1NsWfTzs8hAG7A+Lz6ho
KmFddb7WcmXehS1qZ2UBqDQU7qtFjETke0q0o+zjbVeryamtNPW1nDzYlPUYF+u4NfGUePM8nnuL
jvc4j9axbOYRtV9iHETjley30rswCAELumbCShGCHJ12oVqj2KidawpTK7uoCzeh5rHvjBiIFy5H
fqEzV0QXjIN2aVbM0MATyosoKTJE45zQSbOfNzms1pZRmzTOjjnTVFAFgMm6MOZrTHc6Kc9SuXMg
f6L7q7zLwYgYBOM5uGDGVG4TRZnu0wSNODi+fKWB5VrFud1tGc5bRy8jy8xiCdzPi6cKMZ2iJCsd
SFu2Mx2hE3ksbBk0StKh/xNWZRwF/BCM9lh6t0QEQWhUQoLPK0ZgnxFQpYaf6bV+g0MBKKpkJMCk
SOFTg5y4m/pUnlrEPLsh47x8jdKwfwciqj6XppRA3cGHT746l/wozf/haYiiOAM9PBS3pSEfO6FY
6z5EOOjp7dEtzaNXlvUuShu56xs32aZC+Wx3qgc3xRwJsAC5A4lTdujwSXlNjjZpE4ACinE8dzWK
hq4hvrp3x2KbQ13a6tB5lpA3tzqVzCn3CBeLndHHw10EQnzrhQOaZvzuGyldheg/vm6pZeoLkEWA
8WUtQ99zinGbKd5lQW/v5BE9u8loP14YmIE4/9LvQgwO/FqR7k5rkQksPWgYrW2nnaZkiGuf6FRS
VdIhrJGUMYgnYHbe0P4xOdG68NoV3dv0JmgDu+3kI2RC93GxTFzUac09HVlHVxPIL5f7nLS83Bco
ci+MqfHueht3WFx0bUBVIdeGihGM/gj1NgwFjk+cOe4cRH/eCmpCdovb39OCfiEVVP7kLYHIWSW0
DmlnMnxO3c7QNrWNvI2PWC1FkMkeW2ysDRYWspkociRpOlwjOgfz2S0d40tJZskNGB9Qr07a5ttp
UXcPRui8zxE6FWeQ3n3bSp3ibZGHp4tQHOq9eWegVdOIfR6FczbjzEPRMfaYScPeCoeNpihM8z0L
Z9igJiSRjJmImCFl0fClnkYEgD2DtlPaaI322XUlSVQkXPkenE9289lOv8ixya9IamEqGnX5nUx0
a1dWYi/LxNq5+fB1bhXGp80Idag0jK8RePY3QjTT3RRZyYXIung/N9TXWljPOGWE0SNnjOEGWUnN
Qz1q7b096N5rGhrhnujzOVCsXPFLOQwxVvbC2mWqSEVABoK8mLWG2D2jbB7xbzKQ7AYNscZsvYRz
X266oUq+wiHBws4I4KYEdsig3NNeCridV1o3gzQhUx1goyvvwzSutnkPcZ+0y+IpTi3xAOzPuMej
Z+5jOSyk/QkkPkFjJI91HWHYtZQ5Y9KSABsfxoTWvBIFXkbH2GjIWyrS3DXvdQQMwMX5yadmDrdh
OsVfw9CwnZ0Ju2deazSP550+KLPJnDDFSG9DACLeFZKQNRdukHbwsvxIhQxFxNVkryQjRuASKfm3
3GnjtCphPbMgOV6iBkrCakz8NHPtGCFfuiFuHYceDK5i3TnC8U5tPRWH2Zg0uRFmhq/OxSO4D5m5
f7YUy7sCDtvvheqEj9KAYBakSj8oAVa9RFkjcOOx6SFpvsQgqGlSIQ88RpM1gOMuW2cPWjcJA0Fv
6VpDlyB9zaDdE0ag68t0rM8tUjz9EBeut+6V6Rl8dElzMOKDKftcuS3pfr2j0+xROdLUHRwdtLHa
dfRRUJW2KFWp0J64+RGDIptj3Ary1DMIHW3xvHSWmKA8D72NyM0RgNI6TDk494daex7rHvop/gqN
aDG1BPHfifZZKRGJrp2sNh9hc6lPIokS+LCz/pp0re4b5oxJtp2bjUpK0uUw2t6bBHV3RhDppSj5
WthzGrLm2c/nsNpOEYlePv8sOTJMnys/qh3jDl0m8TYDifJMRcxW7Ojx8wKKbM6iVRHPA6oELYUc
H2UpNWYmsxrJcWeyXmCnJ6izyiaYamFkdaR5gtobN+631AaEujCj9GXfwbdVPbD1hFEA1w7webUE
P2RLBETGKHnDV4YodwmIMJmYnJCZseFFkGFX6hIl0cNBJfAsNhTyS6uivBKhhPVj8jgwV3cQIxJK
IcOJKDKvcIzLlCH0GW0vgmdYCSfAqAOr6RwfC/qeQP87FM4O0kwStjAhk9a0hGIosHNszKIzID1E
U+ryoKNam9tGX0fEeL6lU8F9200JaRtV5smvzaS6l/O3NA6kqcqGvi6VkLfEdTB/NgNXrdprJau2
RmuPV/GgeTdzNkQPWkvuR7VQ3MhchDpbx/RrCXmwCHIlK0TGUXwpMZWD0luyRPIlVaT/b/bOqzlu
JM2ivwgTQMK/Fgpl6UmJ5gUhkVLCeyTMr9+DGrNqTm9r531eOjqiWyyqCpX5mXvPXfNF4kvUiIC1
PtFFOPoSEDmpb0zLbq+9JQZ/U4Z5q7iQh6bbW3pFjIkr4ie1JpuopW7ZJ1pNdiMuySdJbt5Yk0Ec
yoic92Hqe30zW71+hpGDMIb8FFXlD8OaqAJqD80LoXXJmrZCAftuKeK7RoJYsjWRpVizWay05vX4
g85ORYV7QlNKikvmiKCo63hn1ebYbby09O7GGPcWAnDDhIl8iYRhP1KdK5QRL9xyaCAqHirqIAqh
n8WaKYOFj3gZb02acURK6Ax5EwTQjIpfCBNZgX5GMN2mjx/aHwyaQYhaXtK/DxewaNGvkFHVwhtF
lKbj9V0hpITTrUDSC5w0VzaiRh+p9nhcDSX8aEwUPYDtFd1nzc25m/tlCIArw/Zz5cr5q1fkX7/C
//CcwMO+EAHXUsXZIJlgTUhDaCVh2gAQXFaUoNVG41eDWB0ZkCOZnTCt1IQwCKqvsF1hhCQbd1No
YM3seUt9/67p6uUm01t1aFeYYbpiDXUhUtBtoA6nC/VwuhAQM8In62M0JRZKh8IBzqJW+FqwhnGs
0bKIQf0LTVFdyIqgseZHPDsrb7GbhBWUFw6jPlXt1aD5cRfOdPFX8Yps7C/0RnkhOfK5QHWEBgfh
EfcQhxiaQ7u7ai8UyPJChGylBh0SGLZaQrLU5uhWwk8st+mFJllfyJLphTKZURDbO3sGPqkuHMqB
vBY9TJUQ6uQ7jfJ2AIQpOqrcPw3KZesZF/pEBcxsDva3Ba4RzW1HtQYNs165mO5KyORLnaqTYaEB
K1aC5nKBaaqVqznXkSrPyDaQlsODahj5T0B+tmi4WkrWGq7dUubaNw82yLSNtIWUQlenjALJXYL1
FHQOatdfcJ98JqA/Y+iSz3mu0q8Y3FWCIw5z/NHuacrzqh12SHC0H7qRRmxCVqyozq1ynKeRo7ha
uaPmuCJIk5VGyqddXwORT/NgWWmlZDDRgnS5OEOUQXBiR/0VDBsAp/YFdspfPZz5JYZgcqzpplZ2
Hm/dGLQ+oElSUra139hPvS6a+nfgoU+zIBdnoGD4QpgmnBJvjbSlXftlJkxwbD/kidWHkaHnx6qX
38ukfGQJ92L6xaOwSy5Wl3k9ReZbh+D4/q/7wT+OVf7+8oCImFXa2LN0ff3vv7x8FnWiyEatD9uI
fYK21OUVb37+m4nwpaP9teNd/5ZrLphp6LyO/ZmcNneLEuNiDaGS/aqGHMgwdTVT8w5WjHo+yFRd
CFbfZfxRcj0JfGRg4DeGyscXY5rt46yVw5VTF/1Dhuvien3LSE7SxY2GofdFCBqFJHNAsg3ci/0d
qL4q+vtw9b/zmN/MYywcsIxC/+95zPW3+FtLbnPffvt1IPOPP/evgQyjDmYr9B3rBMJjLPEvQCId
E9lwhu0Rz3ZxSv5TPwQ7ERI8PHTYaz5mSf7QP/RDhv03VkTAE1k3UgyBO/uP9ENohT6NRRwLNCOi
UZMVjU7k3Kfhrxhmb+qFNoVzXwv2/AjaCG7tEGousfVTwhQC314w2dlOvlpawLUrdN+QK39f494P
PbTldAmdXb2A8PL9G0ij6/9RduLdbBxjDVwwj+5kERDVXpIA8ksqQERCZH1vt0nyzOIikY/6jELl
noIr78CiJD3DBKscCZcvHTQfeLHbdpvGte9t+sXJiKEBSAXlpMCQzhygAN48gxdzGZaU8q7spfHT
SCsrTCdHEGGUDf6xWfMSRBZr4gZ3tSq2Roy+gQgho8luR3R4VzrfPvjzax6DUWKuo6axPVZilYpu
okuEQ+mBLH0gueSFQ2lGb67p5D80riChZoycGR5fTHm4TK2VonAl5RLL8xoqIcgGardUoiiWG5mS
J+FplDrtJZNiFi12hlGlSXrL5J9YMbK2vjhNZ15pugnCaOk8lR80T47ZCc7VEMMs6bgNgCmimpo7
P2cgtaZsiJ5qNqj11T7P9Qz/DDsI2i9x60IYuzJaL75HkFu/0mi9221P3kc3ZdWwpZu2Q8cf0QJV
g4MYBG/bMz+N/Dwl2ztygb3qiNCbzBFuOPJHSGy2HrKZcuS6vCSUOPlg+ZvpklwCDheD0Ei7l27A
ddnLtdW7kKKla9ROoHMmaoeWAL/n1lvGgYGbxF1E5NLsB4yhyFvxRmHfldNkjEHiRV155ekQrQDv
5wTEVao2DmSu4XfsKGz9ow5euj4TyUIEi4d6XGGaGNdtrgeNxTArUYVyEfx7f4mP6cw4iXZzlqn8
qM9VN4c4v4QRxm7tYNyT9QQbO9byQzoRU1OvgTVFvBpqZdt+VF1kTCeeOgpI/RJ9o9q+Bw9gVP4m
piI/yrzrJV5Ed2lh1HiqYHQVOac01XGl+Qbx5rExeMxIJtnhHvIFn9iMjumEa6BGHlK3GZa1hHim
xL1zWbZ/6bphWvN6G+0Iqpk96Ti6Or1yUT97ZWo8aEPcvS0ITM6+ncFwEX2DwFnzxGPUgl3AD5T0
4gkFkutsDDxwTTDo9fyYlObyUcTFcq1svR2DfKhi47YdJFlM+KXEGArcp+pAzmvBHtZv+8NkVWSE
6akqXnttaW7BZOCxbP16ZsYJ/hTTpW1aT80cQ07TBaoWWnDP7MMMr9uV1ZexjQwL986GKDRpnAeT
M2HTycK6bmtExVuKeyBrZlokbz2itCl0Z4un3ZAswY0a7/O2wpyB7kqPvmpLHjHEUUQnTlX5kdfa
QK51TBxtZE3PPqqooOlSz90bTVu8zrnkewPUr78lS68NLKvA5a3n6qmTThpvctx8oCz96ZQwA70j
YQ08pOWb6WFQFaMmlHbFJtWVKA6N3lhfjCLrqOtH+WZnIvbDpQfgd59NCegIl8kAqE6GfzvSieLv
U62t7oUYtRiWNgN9VZM3Twn4bGQ6roUwPy/x0MTOCHsxcp38o7aJpTdbmHwERXrL18GQ5TsqesXY
LzcnuY+5cQhgImMlcMGxhEj7x5u4qbRjBD0G5Th+k/GxHpOI4DoiSKxtTN/SIfcqGmJMRFSflFPn
w36aGZhvOuKF0y3WOKa4S8SzGtgMmJ9BIGGQVYg+iK/W3gwZueUXL+3WFOqJL8rGJ3iMQrey7a3L
Nei9F9psbnIO/b3djjyeMWQ4Tf9OuWeEqNlSdDNZyyQzbrZxR8oTR3hhEjmT8JKWTJqDY3XEh3WY
lDj2WQmeAFn75RPbQyDvhlUvobLwu5CCS8LfnK0ReWJVbZW2kYxhbqXpvU4nYG0GXdC3IdS1tLO1
iPSbo6JKHWRCrPq1ZTLX8DCcz0FKIxnWLLaczTK0w12UZPKJIJYy3yrJzI6hdQKzzLAbnkTfRh9J
e+ePX3x6kYXzykiiTcc7nxCuZzn3+YSSC5FSiQc3Gcq6ZrCzNpAC4tpD0giNC2BxkT7FdYIdMYbx
L46JR14mb0XioC+z8PkYbjKdsX3oBx7mRSMMkNzUaarQqynqg+4gtKSNdn1j+4cyT5MPZ/KbZ2Dl
1b2meoYxU5Ms75lF8PCmYskDnSodPNDERYIrRQ3pgk3cWvVMdu4D/McbjdfQWYS18bz1TaBEp9nI
ivSuy5aZAqE1zW9eQ4ZM4DFuf5oJS7qu9HoEr5xNGT7SjGQulrkmHk9XFjcTc+YH04vV15EM5hOd
vm/udI0ePC10PAwM2Tt1nSEfelIYDdvtyGQtZU7UNvVhwqP3wx2t+cB2wLiJRiaJq/SWwMKKKQi6
TTrsihAEVLJGMsXRrUXUyHywhrT271hdkpKijW58TQCa/+rYs32fCu3cwIGc8IwVD0PhJ2uGOzLo
iIibvckht42k0g5pwrKX9LDvaZ3DT6w5M4XeZeab3ZJEF0ixeM99Mpg/ycmLmIhM8A+0xYgDBi3Z
UZ/GjN0wFwAz6PRxtlKsY+OQMrpqizRQk0getKZ0T0bj6mKvTHD0hXTibU645aY2JDM6hoTxZlho
vjcWvH7WzzapbYjVcIYuUbvB9OU8WDk5g2+x0csrZx3aguJZDhPMU2a5PqP1uB5JtM35pfeprEbM
Hobo930sx7MWj9Jifzv2YYlWzw2NNHGRQGrtOxMK+cEIJX6Nu/lJM7hYoQTgxw9c1VaslWuL4EVm
R5QeKKOIvjPXVCATUe3RKnvne6PFtb43ylxoJ5WmR8MivIVRq4dsirGCnSXG07rKerMNZOk3Ztqo
n2DyypHaIBPFrdMzHCCKbtQILRNLRvqqVxMib4wVqjcrm75LIf0P7JaJ+lqRCZkAITKqjwYvT3s/
RsJ1Q5Gi04S/AdL+CtsTb6OU/jAzl4vqD1PmrLh9S8TqGOFew29EOYcr26gK/1SWpnpE9kVkAT01
IV5IS8xjNTnFgsOueVBdnVUnu23UvDF9qI7w7YlCNJf42kBPekjsudOxHbf9vo25svq8L8hksuKp
CogS4mtCId7fJUsbY3MlYrxMteQQ+aN5i1IL12rRj1XYT9C2ooptpc9slrucGuSjtVAn2KUbM+se
xdatyH/i4PW+ari7EVwyTuyRD+dO+Y2Jqr9SsDP/aU5S62NQDWZhabXl7YCv7uswEeOXEnBonMxs
zq86UeGdzRtpPAt0XF8darWbrrfl3s+VJBCsQF+6twvHykMdmelmmuu6CUxGy+9ckPmWK8vLAiJ3
zec+6r6JtoniYFJ5DiYKKddPosogRyR2rW0MP3Y1JhADBQeuzPIruxb5NDK9q6ndYK7Aq7Mf6YMn
G66C34iXZbSawG+WfHzvraLcWOBZWLEk4URN/s2YFoexavyYZsI4atCs2TWgfvZP7Jt956Avhlqu
MhIW5x3ON2TDSaXM1bGnuelGsxgFHhDwg+Xj3wqXM89VcYCG15O7pBnqXec25nQeGAo+dU1HKmoi
pIBSksGAFxZXeTxn9UM7d/KBZ385LMzIyNYDSD9sy2UY4JPQtWO1YA/E9nYnNKqCJLd+gFAiKqte
Y8fi1kvtY5eSvfhcABwgi0/UUbxZPQtUDKZuXNdmM9xZ47TVirTeTMOQhI0TTycdniZLPKcLVKfe
smFMmt3QES4ZxLnb+vjBbBunt98/oPpb9lKI5KXmvT2WcC+ywMQhXh0SzdccaMMWElndiQn1YEKr
vTKLGrRTChqE2AuzcL+MpiIMAsUskOyiVeTX5p47YedU8Y201uascrus4vb2AbnMU5TvKuJS+Ajt
5dVM4vGNZVDkbNMxBsng8X5jTzFrps1mO701QjJETgBn3OLv1Z8ocDlhUzhQu3loIVyZ1cSiuJmR
Mbv5sTVINDuQ7Wxd0zR40QkFv/ieVjU6eIN2ZkuRQfhUvPiwS5Zsmt4msU6aRQkDjk8xAqvQMMP1
+cR6sqLNLA35MsOiGpdMfefr61x1Wc7uIjZ0bneCb+QhiuMck0Gc70aWCyYuMbu4FTrFUBg1emKc
Op8EAfaDnW5uJU5KuiraGyegyV324OzEm91zgQVLP6zkdqlba/wsaSU0Sr4zf2EiZWBc7U0/3SUd
kyHVtPZRxYPxWsDB2nYxTpSs5phfBAlumJMdzhrAb2FbsnosbE9iTCto0wPwnmmFwcfp3iwNdbUE
57Z3WCt+JVIN271kl5bBHs2de9aWVXdqKkEwWOdHDlQVWTohab+M2ocR/N0GpTl1jR2T3ubVns/C
sk/8jwRx4qPZyS+x77cYwFMHYg7mNx7dxd0RbqfvMet5p7nD7+jBWTvWU4IjWsFrq1sHNQh3c56H
WKy7BybcxsZsB3feJmXSvad97PQ7X0AEBW9R5mvL3n/U/aJuSWNHElfAE8nAnUrJJT3N+jerRwea
8zn8JHxveWD4j/IgT5wrkrCd+7SWrKbiaLzGF3qWrm9DpLEruNFNoQ6Z5bx3AwUPEzXUX6IkyTym
SxKNvu9SVBks38znZYk/VqkE7zFha4OTfDA5hMgTsY3IE4/3O6VCZjFyY8HUORV2xy+kqvrO4xre
JX0r36gpimrD4ec8Wtk3VF92CEbIptAvzW0y22VoWJV9zEq9fozqXt+3HqQNDs5tBZplbySl+zEQ
U42ypLWOZp0dltIjBNUZshReQ13uUphCj3Ai5jOZkPp3v7XKM6lp47ehrUlxizJCHP1+1qdDnlWO
DDkkx/dlcIZxU2ZGQ+Ky7Z16qEnVBv8CA2XWpM03O3M8djvoW6+Q6wH5m6jpM1CO+zStx0NN+iyP
SZ3djZ453zg41bH74Em+GifwqkTS9cuPOe1I2smoINnAFd7TbDvwvUUNYnvVN8YTvlPymfStoJL/
kWuwedq+uVwmL43fDXhEISlcdw6HaO+kVRrU7CEg/Va+PPTGvG9yL9uXPUoGw4SVtMmgjnyh3G0C
J2cPFEyXnoPU0m3T2dlPz4x9DD8VRJ05XV6NXDoPZTUPmCjitMO9Yc0drPPBCBLG+AGTm71d5cdR
wLGLcwPXcGYZ/IUmj5APYLIUO1ph7UxoU4F0e/tKYaUIBtdqXsZWP7vGTNysbrv2A86M/tCgJrjP
dWIr8TwVXpCV2UuTm/pLpBc1ypW2vRnN0QiBU4pdbSMFzfFe1aVl4AVibRk3thPabpKcap2dlDkP
B3Nyb4iuHDEQu9Z5xj5IIeUvhC3iWC9Fb9Mjs2hoodWEist45/g65Z0jiysOqjTkK+M9o6Zfk5Qg
YgXAatECGfKJnbivQGap6clxpm6HfIQov8Yf7FsPUQoRy6kzX+MLG0NO3BkHS5nv8Js0p2WRtThP
RopFjWkawbZx96pBm3yynaZnTdos3ZdF+VR7MjOfG/DiezC9Op/qoh9qPONBW8o+dLs8BQgxjZQh
YzyiSrFt6pwlc79PJWAo8smCqYLH7ZAv8EPNbrTnfKgeyDwbKYci7SY3G4Loo/G5T7lYB6MotzKP
62pvT7jfQUE+xFXu3tR2VBibnnYAa1xMe4NjxU7OOo6+o6u33g+9N++0iLK7I+qKgiya7xxrdsKJ
xKPA6HASroOTlAjifTyl/dGZMARt5mpxvjogj1/tTAv0LuYmkQiS3Kav9zP9BkmbFLaEUNvzdyIN
zC8kyus/x3bAmbj49t2woG5y7KXHoD1n43WscDPws+JDseTvDUYKTDFmNx0oveefMV71u6yzxYHU
6SZs9aKf7/WMbfGwMp69Htf9DKiFSmqxpaAcdslSz9KENEvkLsO9bhZINWxy5EgauczK/7tW+M1a
wUBpjSMY+eFfbRbKpB7aX7cK//vH/r5Y8C0gwEyCsRjzBV6H+P9cLPjib6wHuLo4X9mpM974X2My
2wMf8TPrBhw17GfZBvxjsSDMv3mrl5ifaAIpMs3/SOmJOO2PewVPdzhTDFfYvm2vK45PCzabQrnW
9Mw/pG1SHDDscXQm9GT9Ym5qYA0ysOX0lLHP31vo3AMZL9OXAnDTI8043BK/udYab3mADjWdXTGq
h05Z9wYzlU1Grw2MxKJsnyp9ZxcdHVLcRl/JsCmu+0w7du1q7B+84Qxq60HjRqOKnOLvtgZU1VYI
N4TK71IvJfcY8yr3UeeQ5wCKxNqh8OasrG1HPfnYb6DU9GAZxrm+blOLnJhVhhMwDa6Y40VE+rKZ
P2glkOeD31Hz5kMRvyR1/SMDn+JuZW8Szz0l6Vsi0u8jzvADw8WblAQI8H1Elowg8re4A7ttac0/
dZArW2som5vJHhFDYdN5SGXeXPuwH+aBRnYsDLyVCeRE3N5GoJoEK2ScvKDRcDbIbMAYaCWs3q4b
KWNt86gbhNmlAMARFACCb0VhBB2PSEYOQ1E/6GP6wQbewqAZRYEZz6usSR+7wOv0N0LmC35UVKo9
YSkSIJolH9U4Bb05ao8k+uX3Kne0fT7aUbmtrUi/t0eXPs6SY8wSujQg/xgruB2ojc7gImszsD05
EqVD0nMWRQLdS99YBcLWsiUlUMsdccjrWGpHsu3zM7KNPt1Fi8iIxESwQJJlGhHYHHuaf1ZVh4KC
2QJ+ZGRCMfPWRJ2a3m7EJvaXxuF+mBlA26vpL0i7GlSNhTn33aGhw6U6lWpDVjVFPBrXNduoKHo/
nDWCHomzy5jLNOvenChSG5ELKYeMhZiUvPSd014z7bXq0KhS5jXQS6zbGF6Mse1HDW9izwSJMT5N
hV+qW/xRnXE/Z73HFJXRaQnN0c3dcLQMZt9+a4zjQ8puLD6AGxyw9c46QqDck3LZ0nyy7IUV85PJ
X3F2Gc7LsJ9pC/eK/RCfObN04MNZ46Ozam3mQKN/3yl5pOqmJrbRX2F8DXu9L7YKl8GGWAIZWuaN
p1sveefeTWtlmye6CLqkPaBy5kJp9eu8hu2BB/VBmep7VFuPJAWGM9OcGyp+8oKzle/YXKUy2gIt
PjrxtVOoeoOcIGPAz+CjrfjIxGhv+wIuqNQz8y6ZTe0HjzPBVgR3K/1O9AlJX5N3r+tNvavGaQOc
R9+x1CPbizhItM2Ib0hK4M8YaAMKTaT3na4faydOtmPbZuDtyMugRHW2VaZ9WMQAPfo1mEBH6+48
sNEdFxyyuVbyMHjykNuQjeDfPZFTH+8zMmWA5pjy0LiSlaJTMMGcme8aRdUF87LoIY2V9s2yiN1s
8CGXCPcWk12jql15KD0Ucs1KQ7XIbwhS36y2ERSSaz1JnTd/lo8iL5Its91hP0Z5zVcm3WUWnZdh
uj0yy8h9X6wFx6Exh4Y3dVeIc8DYQEyMyzw6Ktt95Oi7likwQLOZxSlLvF3Pom5O83xnwUHaNz7w
ytob9uB4Plitsgd05h8yi27NeKyw11rODtHRk7Yo48cIz/E7g8Wfv9xOf6KuJ9LjD8e9ZzFIMRhX
YCLCfOC6n62aZb3a3xPDP2gS+31cpAJFbQ7eTU5Et8e0GEmgYf2rQ5s4+Wu9mpIXmVbIcCbEdmpT
OGPMOdk7fOuQMPh3qaDDDeWUIavpaO5NktiziuWYIt+yaksDSVvE99loxzEK0PW7SLwxyjjbuRra
NYSnVafMiId4H0tHaxkW2BwWZR2d1YzAb2dfThPtcrI0l1OmWw8cHPwxw3ZiK8WB7yUZQy1tNasE
S9t5kHoegCrMLuk2unukOOaYGh35zjKl2oheQgJwhqs8ojYGmrwb1jbRTNWVzmTvbOslsPEsPpus
V8JUkJmaCXq6AohUIEqfmPnBfFgKFg4px9kVUIzVly9K4gR7cIRVgheUnFmzLAWGbBCEBhbZLy2L
nhBuWM6z2jUFPPSMFeM+VRWre2dJ5j0xrnxbHD2lJvctj1PIqo00Yz5DT36G1FQEeToCercnmOC+
w9ay0eBe+LL8Gjf+cudEjrXp9ILJWZuecV9bd4NV4nzwGBK8cih0zA7dZUfgYsVccmEqweIvvVX1
4H3I3h7CpEzviV0XJ0fHHQO2LzWuGTRmN0zhCUrv215PIawVS3JVeMI5x5PG2ong1j3DOOvdi5S2
N7S8v4tIOGXGJOU7+fB8WydGdG+zzemlPCVuCXnV7xNieVgoGd8tkpgPyNshQpLgBdOgwAQZs21L
bLHPiwqCK6swbjv0nIOmzp5svK0ztU04xuCYWUMnLWEDTT9foTR7iSUgVd655xxxG+sOxMCVhHil
sePAq2Y8YXOogoz9bmvRCGd5vfcn8wOtxLjD3f/O8oGYNVq3PQS4E1C+bWykV7kwzl0RPUcEj3gk
sFZq/A5gDhucf0PIVc5wiFzlaRnY1E7GDRCGH5Ul/etsYBRv0IzsYCJ4h8rovyEu606xB3SgQ6H2
gQRwZMfndfcFctFj19nLJq0Tb1MUmbdXqnunWLSD0jY/lJX7O40pL0oJ6W0LI0lI9tPAYRVyDx3D
uCkb/zrFGc3QdxCQFLV5SyxltSO+NgrIgio3ym6XALgsU0/SrtjdnjLCmMOeLSVVwg4OcH+91HAE
Zii9e9cicQy25WMro+k6h0Z4hNhUXmFLcyg+GJ/IyTXuM4SVdyg6QtNXyVHr1wXMqPfEcLG5OKG6
EWCiwVv/6KJchWIw6p+ZkihSMpTm1sCKCMy02JhQbkKR2HKbMuXbE7aXcsPC436dbFd1G2eaEf/N
A7M+1RIigwym/9r0aGA3ZZKmP+OIoe+mgLUYpAMuxY0tsLzutXaIAY+yXT5H6x3drrd1drm468sl
7lwudNPNQT95l4teXS795VIAoHqgGJguhQErZ4oEZ60X4rVy+G+39f9JuXU5ZuG9/3Kd/Zutbj+k
yLj6X5utf/2pv/darvU3hFFg7R2kydxwBj/v7yIuB9ITOWsmXjYEW/CcaHP+KeKiQcMe/A9LnWE7
v/Ra+t9ARpksAIgaMdCF/0cirrWT+lVjqNPseT4mUd0nhYwvPP/9FymjLzjuunxyw97GQr9Z+HJB
H3emm1/elD+541ch2B9fxnMs4RIQ4DqCv9enl+mIEcKwTw0IiE29KcQlO9TjxLmpPlN7ScLd/q9f
8N+CvBDFO5jpUXLocGQN75M0zS+WzBuyyAldA4YyTjcSbwP05Oi9cBGVsDmL5NHDxnvoI+9hGHVf
YxhVLG8lgoa9joP41LHKYNGqRCiWIT35cz5e449Zrgzssb9zFq+S1c/vEB+5xcyJc1N3P7W8qatl
8ziVbphFVfExqjmj0TL4Z4YTAadJBGsXAQ5uca/6aCt9+Rgmb/w6yxR84lChtsN386Wspv5EakD1
uxrt358TIAymqbsGSDsEzTyPvz4nrt8g8EAiFHJGWtfJQtgUI821eO3G+MzyHIR2aaCjz3tzCnVN
Z5yKNxGGqgsZe7LcZzHL4nae4jOl+BGu0f0kDXTqkUImDypLZa+oR7hYIotrFs3V90EaGbdHUz/8
9aPxCeaFpo1HgzLT9ASeZOJAPlnwPQZUej+YdljDbLya7ZaZ8TQJuZ1qAlDGNhmQBJm6DR2pGz9K
Z4SNmRclTW9Z9DbiAh/m9jT1r46lTFaSBi6PTLNfJiPbcU1eu20itlwwCmmNJm9LFGXHvsIf0sr0
tbYbBNeR/cL2wLzptSEoy/nWo/c81LNTHLM2xz5SkCdssXBj3RRf+FaJEe3igm1/Sv0coru0YCyN
JrInPf7wnBa7pjGwI2Qiulz3KbKHTcxpdOY6gn+YCs3vYeRO6ctfv5efBjXrW7l6ctl3CxK8LfFJ
iN3mI74L0djIZ0xxNrVi+WDAz76kNfUHLjme1xJfWUUAhV7e+WXUbv/6F7icHJ++N65u0gQjQzVM
5zN/gF0I0NFutkODFcptpWflrkpH/Yqkqz0YnJ9aSjQuvhkMLcXkxcVh4Jf+6TR5+92qm/66kSMS
O9EI94g8JN8yw2R2UpauEWiRWQNWq/CFqk5OZ1kX84ePke5xqKPq7INrfDHMTF7VpB9RENRMUzCk
TFceeKldPzj6b55cjvZ/OyQ4GtY7CXe2zXfxj9/C2tNr5a7fQjp2dSMLqLnrZ2sda+6VO/h4IKQM
5FiRkePrbTx5NmuboAvK9vpgLJb3xUYd9aMdpf7+15/Dnxzw3vo0CD4BR/dWL/qv50Mu54JB3GiH
YH7twGyrn6RQHy0wMVt3Uqe/frE/eRvQ3otVGb0iUz4L4ysuKBjQPY3s3LkvejVX6zHyu4j0PzmR
//Aqn44JmPmJ05mtHWZmkvzQIQGxtyqxcKJD/F3o6J/8jXzLJRx9hWgQPfnJX440ya4bVu1kZbvq
qzE2Fvj/xf3NLSzWH/PrlwWzBIUDMTMc4UInPvKPn5LgyPXmPHVI02of6o45aqHPe8JtYc89VX5y
ywoxMKfxYxrnAKaOdrsAQ8WHVmG2NMeZnTiR6X1sVfdOV497V5KPaE8PnUDPQYyLHtaJhBk7xMfa
Yl2OyGUBgz02P9ZB118/BJ8/HhvAlAV6gNgyf62rPpFrmHyQIOe0bojtowqigc4EpRwUdafStn/9
Uv/2tvk6gbWkTjsUMIyjPz3c8RKJnBbPD93ckeCDM+3g6os6y5YVldlFw4G32v/Ni1IKfv5SMVHn
6065xMGGyO7zxzWybWPgOkYhjo4n4mFRakivxUI+jS9mU2GOBp3zAJns2MrxlWkhnlbw1t9SiYSk
12P2hdNmZuTCUMi5A5Grbzlbmn3C/A8ldM1wNnmNRPdaKYPN3EietofGiH6SZSBI6I07TkdMvRba
+06/852xZtWN0DCZY4lCnD1Vos86KSORfe1VpJxJSGw1HdXOnUbUjhEmRrMu7ocm9jdlAz2aa2EG
wsaZe8wsj9CRarhdnG/oMj9K3I+35YLyorRt+dJV2nCrNanYQXtDXLekLOwbDx9A56Z7lvIl1j8g
x6+IxbF1D0kZB/7UqQ+RM9SyYmxYyKFM63VKhLfz9eKprtVd6+3xPgPRk8Z7xE42ZFUHeUGTxRtp
ismy6dG87RgzZUh2fZSEuY36HvHdDUO87M6YHCKXRNr0qN5g5RvtIH50ZubBqXShQxpr1EWSMVTy
DRWFy+i4BUM9M3vLuhKKY8fYmKFrAAn8Ecpete0bs5CbciB0IFiaeD63ZmzdR7ECG5PM4WTqoV9N
B4LyFnLpTJgQT8NKF0aQ28/C/zmP5lUGSq9Rw4+U6vJrAgVsZy5lEfqeei7i5tSR1boDeoVEXjTG
1yZNzXuVteij5hpu82YmuYp5m7/xzea+8Jevkxy8a5W5EJHqtt3Eg9RyFEkTwRtar25b2BWQCHP7
rlde8QFjrbsdWgbCEKPlT0/1/h7XMrE9YPXvu9wzXkrYgc9jYu5B8lWk8qSTd1dVRY0/lR31ZpIA
O4NCNMxbUzV/yeXS35vRPHypRYr7QmvREsbEg4DOyW60uiE9YWq1h4xC62ZIWe+mAEO2BonvvLJT
30SLNoTZOOnhYP0PdWe2GzmSneFXmQdwDMjgDhgGTOa+aVdJdUNIJYn7Ftz59P6yp8forumZhgH7
wjeNrm6VMpNJRsQ55/+/39XfRKgr4msr6yJVjW6Yb2+3kON3B8jwXQ3O/J5eP+GoWWKrwuEWa8J2
qR6h/yAyKuYbBJXnUDjtNgUCsq/oJP4IQz1+rDRuycaASGr1rk77JdMPwsmXVYe3GiAsveIKlsKd
04wxnZdqgVI760E1q/LL1dppIwZzPiDSKm5Ky/1kGP8K0DL0/Fav6tBXMpm+Oa1T7RiICEatDHBi
A/kcsJ5l70K383sVfVN1+6320Ij6naWr95xWznPkZrD9vKbYesZcrXE0y4DKB6skkRro7ZXNZA2e
o8ITsrYwvDO1sctnFH7inPCuVrUe8sNZec8KOyEzaMa93hk26i7QsNIZT2E7fBpWdMwRNxI35dkl
MgdjgjMa8wNAHx+GyXPXA53dTUZ25k2I9JGBh0Du08/vLcm59zndzxurZ1XgGVxQciXDPi+s26XW
jLs+LvhOZF+VCL3H/mDq5LN4ehdvYm8EMoCyfZJVfSJPJPYz40p+muMUZeASP3VGzIDMqJejpjV8
wKqhHW+xOuLantkgGpSkepy+tT3+OGz74yVZwvwOzvh4hjhWrCHsdgje061lJq9ARtoNGv9yhRy6
YV2FZTl4w2pCSnepQDlACZuwK41pD/+qIajEi/EtZVFzi5jDi5BZYnTZGIX5bIQNjiED1sg6BmRP
TOmN6LSeOeV8RK1GtE67X7L0McTvwCeuszv4GshwiWH70JYpv6KAOem7OGC2aSsdgh+WEiqqsm8U
kdarskbF20zGA6OhgCge6TMlGHzHIWR+qfu1p+R7OTTHWLdWuZnhmkTAmpSDuR3xrmyV0B4INkIk
Ng3n0hrC09gDwvUtrW5f0EToq7oZy/B7RHk2+DE+6w2ZZR3V9aKOHVriQBYG/NMsuvR4jnAXM2SM
R+S9gVOhghCNIj4o8UrhW8h1NraHMrgawwPHDjDBaZodK0MMt4J4K9zeJVGiVVUfLLut7k27uYsz
qFPYccVbYqrqbVFattVDJ3kOS4C83WQmJ/wKxgvvulq3fWZdSmyZtFFdQJ12Hb95ukgPjav1voME
5V7JGQV9UXu7Ien7oO5SysGc5Ik2qoo9yiAst7MFlERljLTGumfayOKdJupO6V9ZTB+BSdHcPhIf
XQatHte3EsHSvR1lLmH2+VU/5aRHzQRJauZd+K3EZfPS59mVTJPr91PUNNsSIdM+i2W6NVWXfHfB
yAa12TaboXGdlzpiXpXEXnVIYaSSJDXfanRnV1NmRLd0doA282lPI6CJYze01ik0emsdh4P2KLU4
ucO6Y+xVO7on04sARngpQQKFy7+13nBpnPSjLpr0MbYKLUiQE+64Rdc0ZN/dgnyYMue8CKn6urp4
caxnwPg4di+OTUPYNNaQTA91f2Npybpo7fLmGuPj4+twO9w2drgWveuc8fFV9xBtLYRvTfHiSESw
QpjPc2haqyom06BsumFrjQN6027p0q1mQkMSRJtdRWQ2a5ipNibO11WiIapyhGoehDXguJ/gzAxw
PKx43xhOvcEFaCLFbsBxmwU3ftgpQQ5vaZv7NBqWPSO3by5esluXv+/3kxB3pZfm5yVpPuwWDxcS
HYMTcK7Kh1L1F9xoO6c1v0pXHaJsiW6tzLNXpLDBeBvjdM90ExeJk1gB2qmRUbF5bqMavy7qLRd/
hQqLsaZBMJNVC+LhBgpDf9N16B2p8AgTL/NE33hmacOyaQd1MQ0vfHaUo98zTNbOshvrgxFF03ma
ppa8nwQb5NDE8eNIdsKt0Ezr05g074ebxCXTvSRdE/WknfXQFStll+STICbQNqGVGoPPujC/SSbW
p2JoZwHZuirXynPK+7p0yn3cpMNnDqCj91ND1McododtixyWZDs90Z9EyJkkhZuDh8pivx5o/yBX
xAy/hSKCosztm/CR2RAsZT2Hct2OdP/nxiDYpyWsp/YxIyxAEmT+XFne9IJpMQca3OYdzoU4DsHL
MVq1GYmm3iWLs2EjiTlZGRRDcIVCYb2CxKGfV4f5qy17Z+tZQpBjSGgP8/XCO3t5U/PmNdsoOM+k
ALLxTbVM28RyQ1YV62On2hpKcNyeSVi7x6/ybjrpN+BAOOVjBqRME6IdYYov/ULgXbvgwZnjTO1I
rajWqGJLEBJsN5p0HE63ammuLaJpVTKvWkFk709oavVNHPbxxjEw3ReCzBpfFeGEBHfckIq5Iv/D
I58Hijy+IYSuLZzio0DU+lxOy7EPP2ju37ujfES1+aYz0XHnq0WsfYmlCc4xEsVdMwCWbbXSCbDF
OljP3axb5fB8V5WmM42qlsW7FFqtVqQMLLsiF+gPnVxyTnKt8uxZqnsQLekteuUaOG9q2V+yMkHc
2tqW9TaN2FQD3kIP6sSK7vC0PYRTYeCfKMvXadGWylejZuxoLY2fA4qKhwWmzHaeKrHGsOTsGO8w
REEvM3+Qv3uNP0RCE5lXWXBp1FueZLe5jvjvEBuPu0HTo9ey6lA+YGxc21VUTqAjDqRq1Xd2Rr8D
1T+JjgN09T3wq/FZU7iQqFUGA9pgZNW4VxZqVi3pZr8P7eSLv3OFkRTEFzSzsNlYbRWbwbK04pDB
aSYAFWaNk+N0WZu0WtdKesVpMGNB4JhdOZs8jZGlehrqwsSsjABAo9iULVl3YnIoGByahk8QaKpX
CnbtSIegQmYrPR7u3oMVLSKMeIB+0jEYvKL86Gg6biaj0954huV6Nkbgwb273JJu1a/hE+GzmnBf
7Y3SFWctZsjrawjszznhTDeKw8fairMyAO9WbfvQRRZgmPqxiNynfNAOsmir96WPQLPHTfyA+r56
WCxDBH2NTiYhmJCizrPvwA1o32MsW/d9JuVZOhrjUESrP65L4fciquKHfiwaYgr0TD+qlNlXnQrv
yUGv8uhkuPVWfZf8YGHJLzFSnqeRQKd0laCS3OiItr4DVGr4DHG2iyGSnPIuIdVpiZo78hCqQ5XW
xh4UZXdJkEhgyJLRN6RsgLslZJc6p4U42m5yLDiwfWO2ayy+QraEA2kB+0McufhFUo4e0Rm6a5ch
uaExNzxnJo25SQBvqjzCdNAAjO0d+kiHdsqi5l3Jee1o5539OeoNYLAlJYmQyM76rnHTmamqGKXc
Ww71cZxTTe4QapbAo5Ix3zSpW+5iWNLf2rZQr00KcXNtaAwO/KpZ4N1zOE+fet3yVpJsijWybdX6
TlFQ2JC1qp2aGHeDsDVk2WjFdwOeWl8Yek0ZGKtbtsl0o4wlR9hWNJCpZnd+FgCmn0QicnSUrrVq
6iWkOCw7kmqmOyd0HW7+Iet3NR8B9rpbl1/80bSD0cQGts5mFxOpJ5prql/kWhhLiKh1FAQtsj0y
M2i8qH3SO51+paZxvuN/Nz9y4vXWA8iJG32ANeQLDjyXkITfNysO09cSrJ6Ct2F1Q1CV5og5L45B
KqMdAK21zH1zrMyWlSGa7/mgtNBrNQmKqsLYsqnP28mxi11m4Eh/LsKw/RqITqe0pnFXHqSJOSig
MLDGIzIsbNRLqCPjz+dMjStO0kLcaJbduUfmu/m4nizrpS/g6tWLa9zni+HhQUka4uWGqiNuCPlA
xdNu1e6aOnO86ZqxYSlYlh63SZZ48YbEoRruP14uQN5uvZ5bNcsTXWq4y2AMGFS5FWx0a0SkMSFk
P2eG1z4lg4VRXyCNAgNLnSbc6WupPZxp1N7jYRFV8W7p9bBBLcYWObPD4uQbB+NUOMXyDetI+4Xz
1j5riyU++OjE0oVjC6saof6BrZBlgO8GktLcF666oDmaL21lX81NRKNuBovMXLphEev5UORImA1C
pBq8XjfJ4GmXSrPS75SWlIvO2Ljvaaoymtss3N8a4MvZ2jXGI7YIRBwjJBiMbKONmb/Bn5ojwHth
pMRzNZCNppFR+lAOoXsKlRVlG1zY7wDG12CU4sDsTIYn9DPRiSyHLBtJW19ogfnERkX3WALzx6mf
uo2h1dGxRlJwk6EypvGheihQ/VC2m7kkdnIuGrkGEqu6dSErSHWpjeqZ7euZTK+wY4WP7ZRPorcH
taTZG0Z0gHVj1YFV16Ij5H79tm5TYfvsgFegvCQoIuimDqDXNM0hZEInZpechuWc6jqFAdXwu7Qa
d093NTrKYfps9eFTteJJowRAzpnoe0N3yEuqDHNjjiyhECH6Z0XE4sH1au+U4jL+HJwiIgamSuYL
nS12hoKD9ZUW50BzMHXaoCppg2WqxWfrAWHE7ojhEzld++P6EpjQcE9691Nsxhh85EBC1DKAEPYh
R2uzrxHQ6Nf6YARmyIeryA1riuXZUgozQLag8MBTlaFZmbqbKXRuh7izkK5WyJLCJVwl3dTS0cmM
/jiAWkNkZHY+T8erxm9B1Scsk5hRJyO8cCbegCViWql5+e729OEw7RXmq6Pc8ebqUHpp+egHl234
qkbs9sy4qjXdJeP5av8yBRFBfhrO1kXo0xhwlrkq4jJCBfWFvNcCir6tBjjeTf0x5xPttqIX27Cm
1hUTrEmjGTsw3yU4ssrteQ4IsiOeWqNqrtmsRrx4bMldJqetrRaxrbQ2XyE0IXg26mV9aaUoN5qp
nH3lSFhgrHT6Q+0q+wetjNTDFOxCCBQpaFK9vS9Il7vVJX1BQJQ5NWBvnMMQREnKfTjb81Wk6hLw
zDdOYMkiCeum1uaOjUmnG7yXURjOc7zYNnZkVQeZu+i0ZgvoDey9hx402Nkdenvlclx5GXSb5Emr
KAIOBzXxHgMwiqFB+oOw5jyNbobTUBPz2oPkSg1EfXXnzFTF8N+GowJZ+CNSCxswabaBYTHFggNa
PhW2lT1GUb/cCxE5z8zr0RqCpCaq0uwbY+1GWhXkNq70FY5a99kVCUCEOpcP3VyiFJsJhaQEqvf6
QqByDdklUNf81LbJhjIwie9F5QUKYztyltyyTaeIUR0Nt2VmEZJB3EzEcWvGK5h4DYF85NZ5G68a
Odrjp+uIIueyBHPb1MWmTZz+vtOBnecc7ytWUxfmVY+JOcIJP4q7JJ/TS1NV4cFtim4bV5h3x9Gy
TxO5h/Bd9XKDZzxdWUNLDdTm9kqFaX2bTNVtWwCg1KfQL5X8nlT2m0fML14ue7pmS+JXsOOlQBeN
KKmb87MN8X8HCFa7ryvQ/01puIdiHvNz0maPZexJX8+H+KvRpf7gKNN87EFEgvU2SOZrhgey8WCD
hPZ4PxYjuOzcyi4TO2nZF+W6jdL+HlpX9AD6rNi2nbI3sqDLTEPXOI+l2W8tbET4KqvSZxjy2rt4
ebQoF1s8qPshV862N7mN0rj7It5p+ZgXTMG1mIJ+xnw4WYvjDwyesqQu9kRo5OtGldnWiVt6Q6GD
bEzQHUBausSPXd9vFsahRlPyHTOyXWtz+8NsCxxrIz5ht++U5St4deT/spKW9J+2aK/7TZVpokFe
L901CVYNzF60a1k9BMpq+w0kB8wiHaPleq01+dFVqEVq8upIKoF62b8WnvXRuyLa9mLS93iI+WkX
b2CvqaBq7ZNcup1A4eiD6zKPqolv6P1W14TybRWnd5WwtHcMsCNLE+WwHBE4etMwH2mAPWWeSVtB
cwIGD8RfJjT7hr7eY2AkZ5MAlk5N+YfRhUmQGeo7fqET7CT4nVFSVWSDywigQe1KtgNh4YOiBFqs
ZO/Iua194mgK8nxLJlkcPZyjJSY08gsFMo4vBxEzhjpXR8kOSR0ouu5N30sErcdiyEjSrTDqGf20
iVhzVxoy4AE1tPUOJ9J8sJuo7NdRLGPlj0KipJ3TbpfPM3GpVBXxwRLgt7ZGoVuvatBF9BbyH3g8
VW1T93r6o2E6sJFHuB1+Ng/rjOe2Dq7Bt4vrzpArvZpWhkqQwgszfGhqAxRD71XeFsb33oMsF7mN
PDSWTJjDD+M472BFJ2+hE7IrOjhzfZUgQn8UyZIycoRI6r1FSchCrFukNWmwUsKjnVCfBFFm6+Or
56XZnRc5lgHr2cXZN/fMR5iPokQk5/UXn2wwNpKeKFltfh+xH9pIeq/rKUw9JPzJfToO2UPfmay2
rBvl1iDmayFIugQ1Yye281qXef82V9L6yBDS+8r0+sIfPc7NLXVdIDEObpalk2TOznpHaCbbPaZN
uhFJNFAthiQ+37lCvdAoVkhlCbPwp845QPimhy8c3zSxsYVLfrGRElP/NjdGKvdtUb/FGtxO5lw3
Fvt7VJU3hoiObYqxxNSxyGNNKCNcCnp75o6LX0Nwu1TEeCXaSDs5s/6hrKnHGSvrHZyAhOnS3GDp
9LZD4X0fouHeaqYXM2wnnKMhx4x0MZr9BKg7ciOokaWqLrhryHFW3OgFzNsgsuRVZKP39+zdBMi5
GV0y4FcF7KyCSrUT5hT5+TIUnwsIvgCffxtw7MGgHRt+54TUTCZGihIdSxjArxkfPFLDn6IeXuaU
GDSpc6u5pOgHtDw7E3MSrvXJ0Ve6G9OkaKswxDlJIbNGldas8Dkv+6Eyuu+JnrZFoNAoHpcO+ihg
kSzl4JswFm46Nt0CwwijisClXzCnkbdDCNqvNEodyfpTQIrNS+uhgTrMQYv+aaIJhiNW+oq1UN/O
AysuvdXpnIDbWclwWl5mh6qtCBhl0dlA6p3c2Kp4GUfduIsWPYw2bWfM38GvZ7ue0/HZ9Dr7ZW6w
8DPOtDhaZwvcw3T2tPOUC63xMTP0V9eBSLf4gBC90xr6QW1KFYJT5JIMUUmjguvHlRSxo69DS8+f
KOGSVavUNptJLi907Wh6gnlBO2RPBQxb1dcjxqLxuWsxHLVV9MQAeVuTArnLmSWt+4VcZW2eFX4g
ZdHjTsWNETFSZF1JnjpgCgg2aiqTgRvNz21NfZVLcqkbzMomimxHqlU55tXazka2bBr5weImdODj
eh1LA8cDQpfeN2Udbby5uEqeEaPYK9NK3mUv8TyCORl3BKGpF6306K3aZrO3Utl8lBn92NUkuUFG
ADEosRtveMgtXU5Bo3fZLguzK+56cU5O7BZPcrJbte1p1nkkLOE4KUek9ENpR3cxrNfO6TlZDHVy
YHLCyEEW+W5SHk5spfUV+XfFuNwvU0JMlqOPpECDONphPclzZEM94wTYmS8pq+IPcNZ6UKJtebCB
aNInnmri1xaTJQwJ7m2XMTYbENKvWTfEEdZ0TcnUVOZeSYz3gW2N2WXkHHNA+B+hyG9rgDkxiOgW
cn/Fw95pEnxUxyUPhOyfyb0H/uMu7jqxB7Ul1yTlWCf3tgNO1ocns7VaTlA+Rak8U8FVfqyYKgLk
apa7sv5o00R8Vhl5c8rpxSm7nnjHRSb36PXglngDGOIiT29TslN2PErGLeyb5dmMpbN2PfC2ZCdj
srSwmMulxTifVVMAnIh1q5TZCZmRybEMY1IYNhjNG74f4gDdTc8qvbWNjLl/pa6TsSYkkYV2wyFk
CrSqMywDZWLY9xhCk3OmV9YPHEpO6NPVY/PIYJatepPUnZggsmvU27iih2SsNKBjRCKJ7gW0mPWg
c3/exbXOrRQZHX2Hpbq3UEr5FXMoWKFGu0pZZGlQDSbxIBqB0mU2Jys3s4qHpKizbQ8l8FsTstZV
uELS7ViibPNnLeUTFxDJhgADCJOlyOnaNbyjH/gZ5as1uMnNLNtmxTgRyzRCRR8UuRW4mIsD4MQ2
VyqvgrQ05mMsXLacqBr4dsaqcd/EKF6hxX9Gg2Ocibm45YaiW083KShwit3GQi/6VZ9ChV6NZlxM
F3xgdb6tqXr7LdEurGaxaocdt3XD8dGgZToWbrzH1xU9OY3WzteNaNBWlZeDEBZcWSQDi3cqBz3c
WU6hfsiIOEV67qFjdDcYJcg91iYnyDKBSb8b8ev5cUc2XESz6IG7K/mWlbX+MkojX9lOG60jYZHg
R4LlDTl/kPmdnvoSLjhj51zXXlBddk/ZImlMuUVDO3zR8QMp2RByZ0efXrS4qzrUsrVnL/ND4zX1
qSzKYsNuka9thyz6ctJq6lFQZYxf9F+qZBivRtkcRUr1JaM8P1jYONDTex2GoYSJyZK7BAyaw3Kh
0dLtlzgTbxlYhWej5aCNor/YtSKGOm478RZDI1mInb3O5dR/CCAt+2SUoe47crTzINaTU7iM0y13
ZM6R2lSvlT2kPwwvp5eOjeLBAX4OsJF6p4aQDsEwF3gpSriJKf/M6JI8EgCOgYXhhjsRXt21D5gR
24sJvM66aG45HLpZx5ljibHHAO8luyaJmaAvmXY7G7FLJWkXBM3qcb6u7Q6Nil7T1YNX9xiCf7ng
+eYgojs0bXI58jzz6NVRyxDTXfKnWBVISAQSqqWtzqIST04pPg2knY9FLZr7qiebXOBiup5qqyGA
m/KsCTXczMDzHo0pG+4FASCrNL0babVuJBioF0gLeBl0Y3oRYdytU4QoR6NKXOgAYY8dqn6xs9w4
z+J6PhiL7GJkpjzCw9S2eRQXt/A2siC0huxjGLAYNaPUAlUMCaWKxuqAwGpHbZiAh65lFwfIP6x9
7rTNdoCy+FpEDf6fbgb/XhiC81hba0RzcU4+pldjRGna3q6BI07+JzDKqO5l0JhXaUTZuyxNUU2o
oU3f54obMZz+UI9hFcS2rr9YXl6x1vKuCh9Xjn5HszU5AlUxNvRsU36rM+H/0DLohblxWztNuy48
UiVEXLrHHqa1n5ZfI/0ae2LPyEP8SxyjvStYymx80gu0IGzTctfYdI1tN3p14/gDldKnS7c1iJhi
J6G+IUsTdlZrp9u6qT4zGw4N0WvbMoFLUswZi98MBK8YTpGKTqNTPU89yw78PXJHGQzhPIF9EsVr
Htmg183VkDj6Ph/qB3xSOxRDZIEOMXz7Mg+sEcKaxVSo88eJQZbb0+4pWg3akdgtWnPIDXPXp/PJ
bOh+z4CQ72l1mbvWndKN2UXokesloZjs+/S7U88K33GUnl3ipR4k869Hq6RirJaEVnhR6dt/WyqN
cyOje3j+XfQm4tg8UwJrm8WNwF20Sfv0i2Luf9uf//8oCfzq6rAlvoV/brzfVr9D+f733/hvHwiG
euzsjAJsHPY2WupfYb7GX/GGYI/41QZyFaT/6gOB2Avf2uZuxlTtGPZV5fh3mK/5VxSQno4G1tT5
de7/KAz8H6SGvDHNRlZM9xkltfazMtSB+27l47hOo6jyEe8tkH0osXQdKQ1Cl+lPJLw/qzevF0KD
UIXeFdmwfb0Yv9cLG21m59q4XkwyexYz+hoWwPfzKCb/N9/BH1hP5D9IxHkt8MkEp3tX0bSl/STk
7YENGAwr4JHqV5BAYTExJJhN36dS1ucMbN+5Xww0hbKD59Eo78POq+EWrV62LzyTxa4RSLu0eWTa
kvXtlXLvReobwxbmLAli6ItNhM6h12T7Po+LFaIFcUKWJc7h+L4W/DX+aFSfIiRI13Yz/ZHmPj50
+EaNfuxMpd0muWwjvKq0b7vUMT87O0bCgshrwM6W918M6OLPyMY0mGFfWVVhvtyycRJG0DVztEX+
l+Id7Ia71F4AFRKhNbBw9hnbYQyQyWeTCL+REbcAY6FnC6Aowu5L2Tk7ps+80tnWC6ptnzMpEI/e
GyO4qqaSKPedQX0VZOAenNbeOxH3gz5g4mO0fSpn+7FEmFqvstQIDwuY1WMCfv12mnLSMmXHwEkb
YDfUL6JAnUVG3R2yyRLRi3PC3Kb8xCOIqanJ8TQ8oU5zjEuHVBNaxjDJkHJ4QOWFjeE7YYSw1unN
HCgKXxIPRUoxmRnp58kVZCzo/g8OyY1puslbL4hjRDaGPnVrC93uQId5m0XyTsdcSs/4fm4GWjkO
1j19irdQMMxVXnh72eB+zGqDl1eKCaxOeGvKKmr1Kf9yjVxCJLtDseARxgCcv4rBM9kmLy7tQsMh
rxHyTc3WcwwOyJR8A193LsooW0k7eh/ZhXzoLi6dWbElg/muytTKvV7RjM7LKjTjh07HWqhN8sPq
w5OeOXvUELD1aJJpyGr8ZCTVSrbGXcgRnwpC/0jtYmNkWhMQybQ1tPRLk3aGiUi9WPyBAc7FMNIv
Eg9ORRcdojrT4caH1Ghx8xApeysscjHmgdyNbNuRcRrnKlnXHtmF7uTS1G3CpolOqWFCxkrpXNxA
SLgkonopB/r37Lp4lMf8qHnTJ6QyGLCI0TZZwZenJpKmvIjZ89CN3ho+HqdKF7kcjWOoYKZ7kciI
L0Y4vcdh+20CS7nGkNlyMeA12KF4DI3oNIMIDhbDpIgVRGNJp1rNWYjv0Y6OUUi+ia3kS6Z5fAC6
9agnyWoZk/fQYjhVwt+BFukEnUPb/XrSKghI8u1RQvmo6CKoFuQBX+xdTOIFyESsMiIHhk3cNKSJ
Ri6PnWiREbXO46jxSUsHlQDEAZ/u6buHj3f9f7JtnpMfCrvBV/fv1w35B4QxlURx9x///rs//b/a
XNHSmuxt/3xz/c/y4614K//yVn785ZL8qN7f1F/2bc4f29+bL3/9Tb+Cboy/4rBkg2FLwyFEfsvf
N11ANxIlkI3pQiKu/4Wt//dNl/0YuT0cHOLqHE3qbF6/brr2X1kK2I8ZZlpS4yf0/xFB/ydjwRWa
j3kJTyjvjD2K3/a7XbCFCAnmdlLbeCwMP7WK97J2s7XhsDLFhP5tSOr8ItW0DhYve6/0Vid9nC4Z
CiB/TiqkwG7ZrrADQH8bk+eBuUzwm4v8B7vnz1Eb17cIc1e7Hgu4Ipw3fv8WjSFkJ88itXU5r5J1
wUCBTFP6u7F3GprmzTSmi932HH0lTy6D9z/Zvv/JGzDhNXOpABP9ZI2RmV676BrUNsTq7ZPwNAS1
jlzCSMJ1TK0S9LBn/N4j1Dm+1rtArP7kLfx0VvnlEtjATXTTgh7q/nxWac1EqhzY4xZ8CgwE3Xns
Y9bApvyzaOCf3HS/vpDNy5B26ckr5um3hyLCstqOeR6a0Ir4xy7qvI3T1S9VUzBim70kmG2KpgZX
kk8zn/THUMPyPsk7GFt4EFH9ocg0wrc2tca1mqR2b2RsaNfnArHcpMBAQy1QhZmhcGY5y8jTWTOa
YgzQD/DRIK9swl7eQuGlC4ExxJ8b+7UN272miCk0kyY8RCW7nZA1YAgLbO0cPgFY5W4tlsdKd62N
OY3TBQnwl24s2bod8vdSENWWq/CyuN4nVPV7Y3G+/eu79HqC+42viQvHI6ExGyf2B9Cte/0Gf+Ni
dhZA7GhYcMJCP1kn0/yahuHKRVAbhBBLAzOOPN9poJ//69f9OaKFFzYtTIcOLlL5yzLy+xdGOuzU
qMLSLSkN+drt8nTvuAy6OFjKVWS0hFE4C4IZJemFMTNGQ8au6bglX2gOLyOP6ZG7nFcsh2fK0GW2
8kJk3VUzztscaR3UJMl5kyQX+be9hi0g+qz+4MmW8h8ummnTc/Zc7mpc4NpPR3Ct95C+OTH6aB1K
SEPgA5rP66lp8O7Bt1XrzCFesQu74sLRA62rvh8zxtxXbWdY2Pu/LUAmtbl1stFT+27LrslkvV05
yD4Znxnw9Izlx7++5v/4XZs2BkgO7SxIeOXYNX77XZNYJTQ6m/l2FAr2ksmi4BId8LcLrewaw0jP
+UyYufyz5/MPLhiBYB5mdesP8nh6SUBXD6Z0Gw6QIIceXq2XdO2f+L7YkX66l03bkDrGWmTOkHd/
ssqXjHYM0eT5Np6dcuuohsyOMH7/k4toXn/N7x8ZuvqeI8HJ6WSuy5++fZjMaFjTgQQ9mX8xEKTL
YbccniIyUn3neqT1BB35cOiYS+gLQfRW/qVH5nJXLykBGT3k82vghm7S+scWLSA/Ih/P0YtssnSU
gdJEEiBnfBRI5DcY7C4gVhWdvt7lkMjxfUAlvBGkVqxBpss1wvetNrG+WfoEX7fxxLpK+DGItfqJ
6g75UA9rygv5+2bj4l5aqBXBqYNYmSbA69fCFQ6/tyl7tEaxV5sbKdvnqSM4VtYjA9wufYcR844a
+g6+bHgIsbT7Jsdjhc9k1yLz8DWv3InJ0+hUat4GUe0XmmCXAz1rLhLza3fR44bTub/LiL78UOfv
9sA9SNbAU7PUC/kK3mPMzRGQSMz7Nu7wkZFVG4MRMGT3QrSNh/iK1XueM5w7E+dvUyh3NU2YdLKr
5CT3UvNN12aWZelkq+txFvuxuzKaRgaRnRMMIK3v6B7SIOoLeT9UI4eHhGhhe7EFJsX0S4/50L/E
RhUF7xebJmaH7BPUPmMIIz8hBRjQD7Fwj33druGk6CtCfUk4VOLFwe4B5VV5gRcb7go3aRj0Zhtv
WMvKbcYUybgK9BEIgGVq2YHzuTP8wixOJLw8pLr32LTIXpoeE00WuvGWw4/BxjKYQW7w1ZStureT
Bfse3gEOGNvQKd+V1qp929dUo2TNrL2Jb7MAahmoJgXpAgKmafIvplXyCgs44hg4LkX2RRXmbad2
bleRyQdFc25Rap9DgzuQNq+7kv9F3Zntxo1l6fpVDs49C5vD5nBx+iIGMkIKhSRLcsq+ITyJ8zzz
6fvbkYmqlOyyuoFGA+eiG1WVaUcEuYe1/vUPwjljqUA71nAHkFBBLzbgHhzWrPNKXZlLRX2V4S66
hdf/Qi/MiuXNLk70QioL/0g08uOYYYtXRjSicBW73RxGLxWm3Jsy5rQmy80FjaxOs0OHB0U+IfOy
+Goy4cExXYdROKJ7gvjur2n81TZFdYgX0V7bofOIGw2/kfL0ZKd01ZcXQ2Vw7mxYcZnO5XFZu8vE
shE1PBWsanr48slXFzr5RkbmvenmXgDJ5asrRoyDWOF6z9a4LFyisVn45YwgE1ahXth48ZFW51HI
xIxl/twCBSsMetw9zBUocyPFp4Ug86aceVlDoqoNjb8PwZ65cZEG0Vfz+jvBdqmHSmwMY4xPE9kM
e7SqybZ2WbRVz6xRbTq+LlXMUK5+qnGneR6/25BD9wcYg+cPveC8rme2mhPXN5XnNXtC/dALLbAV
18Y56gh1drJASJr0XrpN5/GET1S0TTMSXBXTDxfn/EWDirnBaY8/w+9g6WZ/vmAM4e6NvHlGT4c8
eE5fMD33NoztkfyxwAYne+ln6mh35CQo04gP6Ghde9Xh1/aSQknvaecnHiLNAPUQs2TGWx58HKkf
CHCD91C52Q4psrvjoMr29lo/SwNFjrqdPMGHQPTxfKlb4ZVhpy+LCMM7I618VJnZNmG8sW9xu4S6
ZyAs8b7j3EaVa7ByS4quTdclT11H/BuTzmc5ctZiTcQDmWXQOvnXnvpKHWdLyYOIcY64HEqD5HiJ
++4ZAIqLcbAJ3bQRhuXynn6HdFNILOBQ6ddFU3kcJlAHQPVf3USsChY7MTXS7VislXO+/ELSZF/U
lmgSea+uAnxe7vuaL3Z5B7XhnZNCmzaiDLGUnE4w+zEdK9WywYgLi3dZ7CudeXNq6SfZgkjUUb5v
YSEyCmYxXk46FynCVsbuY7VITlSQrD2nyXTbIfbHG5f9m7Iz95O28qdcQqAw6AyvevV2Zo2VJ9fq
tEal2MmUfTjX63x1OYkxf6AQsyPIZQmYBHc8uNHqPjo5+d0b/oTNN3Fnn7m5qmJ4AaRr1n5SkdKt
ZUVyrjyR7VwJP5xAB8Rbgid2uVdwf4AGrIrnzJagS+EevcgSmKFy8Fp4kGqFzSuHcVxTpnPS+OPK
q5oqFl3rcfDkTEWgLXP6uCOvxmSkdnm7Xdo+J/AsN07MqU8XVAZNxF/YoK/1L+cv3DlFBopB0zLd
3GheVR2atINLywnQenxAFLOq5cAGctbsZNt8a6PhuElrPdtdyuEhSfP9MCE00MJ8eUI9UB0cJRcw
Y5avmDPMxFgrZV98Td0YGsL8GAp45JlsgZBGHrW6bUKPczHr2QIh+dU3ML2znQ3lfWONOYlYfYvJ
ugG9dqjLxndGrCEtG+nuRBgaKJyqz6Xj44EYY95ZceERZ3zmlGyuEyvuj9YEZtQRH7GZzXjeMfDx
/GyYFLXbI4O56a0NPi3Ir8JYikOL8+TX2FHYoqlbiT9Cx4aIlnSB5zA2S+bkpWqq5xBfPn+ms/qm
wQp5MPOUfIUyQ8Fe9w8pUvWAPoeEhpABFVZzkH0LJCWZYyY7vPRxrSTx5YAZpS9X2qSxilRpUI/V
sZUxM9+hYCi+Qg+xphDMeGkqdDxcC1lMndys7dnUY8t3SMC9guv6FedSuEAOeQ5jFppbUh87PyMN
+Hpt2U51yWGv2rzKqTNc3xL+nwt5U8opPnha0ZwTmWfI3NJki4cJkCfhJdsOdt1mzolqGesGtWYB
FlwuPLHRaH+k8M/3/YgYVW/K/CCgn+8Nxzr2XvOce+RYkBW/bkbTnm5GU7HPEAoFuK+lWwJBQj4e
8TEpIZjB6wN/91rCHdD1wW8HeQV2/jnKo+lHRqT1Acl+uJtmAj1ooL7VjpowLOhNKJ41PebQ0kQH
9xdNu9b05Loa5N+lqJFAZgXIm1UxpgyNBNpyYh60FBDZ7CaBxA7ynbDvtIngkJYDoIPBGIGTQYDl
nUZE90ztdVJx/sKnfdLFdNXaRLgSGlFzlGs/apvFRxJKBjNXN/bZoH1B2oDNRaObx3617kmcNmCs
i1OrmdmujNgGIh26XZvompoWM+2bCWdxVeezZswuBGnMHLbJiz5XHnoy6icducWuKuPlyeytRr1h
cvpybiAkf+HLlGrEuuhu/rHEO5iQKfE8GhwVmt49lyEQR5E17bdohfzITTxgne/0QVZRBMdYnvtT
RsUklHxpk2oGB5c6xy0tQ8XAPcdAeIu1cr/XsHIMhrrlT6mOXnoUd3APshuXkSOXjH5vzm67yUvG
wy2ywy0UWqR6kRdY0/QVooobZOV4H7usmNArWhyCRw5NrgL1PRXkrYM+BJ2t0xZyW288yuxBj79m
hDoK7P4ghon7jtk8HBuHFRp389VlrJQIxUhxyFvMpxPK+M80kI0v8Ca57oTRPg1a9ol0iXPUO0Fj
LB7WTBxqBkFPNxhOwmujqoIS2FNdq+N0xQASX0NuvNHta3+S7iOQ89d6KU4UGNAJnBk73sa8qVvq
GuSYJ2gbNn0jarfemJJNPhcPcM73o8H0qzdyfmvSwu+c0vhOtHr9KRE8e2R6mD+AzOcWK6zOWQ0D
6YYUWDxTWGc8Z8txP2Jf315HWjI9Fo0mNj1a5Z2hwKskWrZTlsXbRWHhYUedkzXxjE2vSWaW7alD
uqBwGsea2rvrkS5M1JjGOtYMozGSrdrqkEd6AGe3O+oekwktfom47ZEH9PuulOfIVKa86kaHPp9w
R6RfG7VWI5bJGdUtXR41Ac21sU/NRdtrfGEStLkzy6Uipk51LesMQARjMtsNUftcESm/Hadhuo1q
tpQhBS+77MugH5bwagGZpNbJoajbffahGcYEpF3faxHDn5kgXj+no99fbjmSQspTgnB261kLISKu
p5+imo/JDdbwHJvr58J04u9tMkODZGYOAsKgHZ8Q4s81VpNH5PGXfCLUMWmLF7EK8RWpLwm83HqX
1U+/ue+dNLmiWX0BhOBX5fYHdybqyTPuS1D7A6bUTDNQZyigSlprcxgib7yRzMQ3C04Nh8uYa6gM
vDCpoTgUovq+9cqCy8yrYajAjUJefSaO3YU4bmb7woH3lMn+SsNknxO3vl6MlQhqXDuhp7jUqxav
I9GMW5WRzvSDySFBWjqEelApVjtX3MArGkvr/nL3ejP7NLbCx983/vJX8ILtMsnWDYcM44sX79+g
sjGF7RSlSxYg56IRNwFsZd8/NzWgYCqK1Uf/xoxt4C33a776sVEMHDX1R9n84Tb1o3ATnT1Mo6vK
jMERGqwh5xHbzDuyndYtOT/awcjbYRdPotzW03hnFxrUPrenAO4jcu+4By89EvPw7wg54xd7RlQm
e/uevO1yN2m9fjLglV7Z9VycZo0UWLjFFKUOPVDP0JR+KTPor6WSYAlkR6oJG7A++oBjLFZ57XWJ
pmlrRaoKjNV8kJ53JyM3PGa6Pv/3IXImAiaDAgb0oAJvnYiIxI7JYJNZEHb0lGjvwquOee3Bhqhn
FxmeLJeDFxyfES3bTSf/7x2I+hegmOsxzLAtHV44eO5rUAyDjUYmRjYEqdMh4zXW+NC11EmxDa07
01JCHG1IwCi7zHfgKmVf+RZIon33MCTDhY0wgTcfzc7WB6LChsBtZtJvOdR3cB/1D8lk40aPcPPz
INJwHyrZMOzeu2osRky2jWAxZ/3596v753kKNtJQRfH0cxyW9xsceDAGUcfVlAWWOgQUYIBXFyU0
fOt9K637JOJ0/f1Hqp/3BkcDH0XZz3hCoKd48/NN9BO0m+GAT7Lp7vNmcfdNxH9CqPs4d3DWxxgR
ezm1+QF2enH4/af/YjczJ+ALeOQvqFHW6/de8FDNnjFn0LgUYxmAzrakoXhnhf/isYIyG2RCuOCe
P42puE0NyZSsD1adLLJhJSiqTefPDOLPZAd/WnpC4X//u9463Slg3TOhYGIvCCsDu7LXP6wp24iy
pOiDKEm767AHME8gShw5EoByJvcR6la5qQXomRqtF3O+BOOMqhZPDSITx+T7mn/8/Xd6Q5G5fCXm
iLBJWOyAwG8WV00WZuKJmj2WpZ+rGh+9P4vfLKXGI7bzHbM2NWV8s7IwanPI6dAJyFCDyNePYDAc
zQ7LrAvcxDm3uOHtSg0tShVimiKomqFhYJyVp0+1KI65cJ7ahDzUMZluBiNDca6ylnG0eseoVE1l
f/paniEhLLHydPsyEvnbBWK6c71EOMUHhTeC0+QUz3hOAuWIEkAFHTXE7lMMSPaH2dfk31W8ImxX
gXQhDejtDDBFHYeRiGFs4LDBqbDN86RjAtGn6Te7I5pZzLvVogTpnSP80XuDGmeI4pqkyyHda31E
1DJIjbPip4zsc5erqWNmYyRiiDzdkgcB6dxUvbUg1SgPkQyIUMM5Q0FZamx3udjSVbTH368Q4+dn
oybJEgAfyhb+s2+GpXh+zT2NYR3APoWBjWv41iEGCEZCAS7mND12EmYCdFCg/RvhCaufCbQKib+p
KAgdoNqQm25Ft3tVi0HbS7gg+1HVzWtGVdrhP3sDJIEqxgUJjYp3zzNdfcfXB5oDWwq3IJMkF4E9
8ZtlN/ac8y3FJkVpt0k9rETA1NAPOe0z4gGI7nZxcjGRwAENrr+WJz5uEPU7x+rPix9vCo/lZTC5
Vx5/r79FgTCmJge2CeA+XBHQC2rDSsCqyH7ng4yfj1BGh4ifHSa8jgF1+PUnMQUJGwNLniAsQQVJ
Wdvgurv6jdOXL/kKv4ekUhavQpebecDlNmv5MoO3bMMCu8Gpjr8atPB4BRgnp6Dfy2gBLyQc7N2B
TmjewbdPrcls3syB4TTS0Pe/X3i/emkM8BiASkdI6GxvJsclnauhrzGhYh0uTUaOS32Lwn1bdFSd
pBI0CLeH76pfupBnhiZ+WQr3nRPr5wPSgRbBPBETQevnayI3hs6pdb0OhFX9MImv3vIYQJBzyFDT
8t6nGT9PsBwHLbbH3NfUBV5Hr1+cidEZQUIGNvkUVH5WV8tOjSVRSyAs0yMJgEtBvfYMOeA9RrfF
Wj1XBJPf2ATwwOCJvtauvtzkVrNi8Grg+k5yMpIU5WeAvdkNhpe3v39NP9+jfGOpBsUO1lYUja+/
Mdow3GpntpajLUlQdXW/0zIQiEHQPwFlwyAT+TtDy18U/HwaK0J4VKiwLd/spJzSAfGDUQVhCrBJ
3ohFIz4bp7Sy5kNc9OCpZM/Q0Q7HDnjqGnuB+wtmCN6u7dHl42VWAiGEDIp2fTZ2AKGmfgW0ovuY
q+xrkxYzhtW4M2X/bKzUWxdMpNRpnAzGz37vqNMskeC1avxiGUNyn9FRbYvKjA/Wio9AlCGtSELz
KYd0tdE1hnq1buPkwNDBjx1VzIeTh+YGaBKi5z3yaQhmarZR5fhAMXNDxpK+2EnPx82IZ/Xws6nN
87auuwmxIMvw96/yl8eGbVoQeGzM2+FsvH6XtbsmcWtxbERLH99lBWNMnfbFNyQKaoDlijuQJhd+
41dgc9BsyYsuJyIipsHI96XdTlfOAkZ0OesLRIrHZEmIP7G6mtSb3vh0GW3ip4QxI9NavIRa8xyn
vITf/xK16F6f93BjqS5gMxnYJMo3530bWYxg8fcMMIHCPgf3nx1uPmwJKx5xOPWKreeuxSfLDZ0d
XNDsnTtTmdy//XzDQjAK5wWukf6W3+O5c+ZhfF4FImeKVhntfKdn4P1uDhJuNp71sazRmCZmnB0H
nT1CMieoggaOnaj/JLOy2Q0Cn00ivVkiFs8Ucw4Q6MX6LPQBrX71rHU0nZf5A9CGroHzhTNZhSEK
OFmraYAEZE8BJQNRKIxvVnDuWif3bTNZH0Uud7XwTu1IlqG0V+kvivNC8soL/8fQAzHhD3jMeVBi
HxBkDuPG37+kX1QWrkH17eqeh+ettNVT/FvVNTKrK4m9rYKGIcVlQFBYaiSsMxGqE7bh2ueEomfr
cRaZ2KwJFUOYfGR4gApcjWFWAam2brFN5La+z9X51tiPVgohOOxr7F1KpVtlFuGIYgl+/+1/Pvfw
haaiYN8L2tS3PdLQa3UHC7YKNNdShn3EWHNUZAtw5AWNysPinVPvp+LZYU1Rn9KUQXPgYn9zIcZ6
Fy5tRicItI1AqO5hPKvJ/WUW011e78BQaOR8gckBaWRQY8Cxb9wNMcHDvm3abC8hs2ygarx3eLy9
KC9fTlLXst8Ua0j987+9THtx01QjqzNIYngEfct3IEuXKQDvKVdP5feP/xcfp7Y4TCVTp5n46drJ
alJkoyoLJqlWLRzWRaOgsjrWDr3jex2x+7YKxrEY7xcHRidENp3O8fXPi0l2tknxITspjuXJS0aL
s7BFJ2N5PqMmD/1kRkWSKF60SRl6SMgZO+i6Vp6tynL+mKyCCKdxONjmcNvZ7rxvbEJTrAlXh4k9
ugNd6a5zbI8CMtRtLAvK5FSaiPbCkQSjZO1LrCf4y5OxJRYJk78EOPyYDqWONzzaQa0yil2qPNHp
Yax4q1XJhI8T3j7CJNd9DidMAjIiL6PGCgojMq/gcmhMVLLbbhHWlrbNRIVr8gwhlJ9I50l3YZph
9U+f7K+EWe3y0nV3Q8w/iA3tq14DpuLqPdwvFGoEiYfpzonp1MJqhHBORQci2AKrJ8ypd2VWmFcQ
VCU8sMxLd3bRlH5ZWwkWIy3Ct8IqM1Cy0AxMp3EPXsJ30OowAt99qHvrNorJH9BAh68Jq12Bf1b9
8zB5+DA5mXxno5lvC3XHcCnCDEi0nEqCfv31y/aUXkLLueVhULiHS99j5rBGyk4w2aaWStGX3dZN
U2L7MmHytC7W3qjVC6wwUEAHQXZ1OlDXOy2ZRkkef8uN1PRdqIfILPDilywgcvVcBLgckHDn29Jn
iGBtFSrhu+aqPWLcap089denVX/bx8ajdGCbTKiT954czP3QFiUirM59B3B6e3lB+2NDsYOpYzho
xJulzsmJUUKTuX7crkGLQACI6J3d+/bwvHyEA8OQXBBb/0m9QheGa4UduRAG0npXjcCvIz5Au6zG
HKbrSeVdNEyCfn9kvC0K+FDOTnRFIOzq2HhzQkUoZ1M7bh2/qRxifyOv3dYI0xi7oR9wTUZ6mim7
Y9WKEDeorHsH1tLf1vaOyT0Hz48CHjwVxOX1qlpwGR9TZW8w2LXGXB7bz9owVxSR6gND6R1rr3cD
TrtHYIcsyC17fPr9I7gw4P5eGF2+AxA5rtkupF/3TeHMtmkdo9VsP7UzbTcuTXcoCJqnERcdxnRj
4m2TQnRfZrGGZx6kda5mWKdlb+ASmDnrLh4dYsAmK/WHYnWfRWfwKJuO6i6u/SKLW0Kjl+4o8fo5
1n3snJrGsk9OPTUfjQhWwmYmzTSYvP7OdFC5xqOWv1N8SYPn+Oo3UsACmaIrMwGuuZvfPOekR/rP
FeoP7KrTZLazj2cX6dBjNV5dfoRHDMCdIMbl1OGttGXwiLf5KtZdrsMdWSnBdiZYBOGfWGd6mIYS
4ZZq7GvRHefVeKnhYhy00YZChqR9l0TmfaZcguuWtE3S0Ds8EewWBsDqBvbsEK0nCSGWKVbO2Ljt
c7KYYfigLB+rUvOL2ljxAJLoZuPZz9qmI+t0RXtrj1As4ujDokkN7ciU3y1r/XFtcQFt4+FKTuij
Vkvkmwg/vhsjcfpnrSq//37JmD/dtDxOQHg4lQ5QMLq8148Ty6owwQTJ86OsBTsZtHaLP/UpiaaH
orBISB0s3V97He2+vSBmAfHaprjUHTI3d4h0B73CIQVTH49tlpZjfE2gmvjSIIJhvOyt1/wt9mkc
kerPmlUeAJIGJDaxHWRi/LamtXdNlye2ooeyJ/vO8hujKSH1Ge1Ws6uPQ74M/jhrjwWA9C5b2/cq
G+un0wp3M7pNYCNJqjBw6esnkGLBaQOnSB/3suHWRaPw2ZgnhmB8cWRxg2vsh8rtg34iu5W8GA0i
ThNf62nvHhYrqfFACgdUaFXxlESK3pGw7bKVrPWNK1PNN6aahWlH+NtCjtuJljWy9OS464mbbgfh
6vulHYJ5ifE0N6yHaTSfLU0nB89zHsI4+U6vg5EB86nrotecQwRp4yYqE/eup57cx7nb7L0xpx0v
idcuprkPbLCBwGLk5zOYZKGPfOTs5eY7GM6v1g6TCwvQm7Pvp6JwmZOYGSVrhxyVF9QG7p3aK3iJ
4DioI1H8/VK95Em92flkOMNQA8lFWuq9KZCLAaxKDD0nLHSqXcoc+hliWXxdk7u7FWsx+yYJxefY
7uNrw2058FrKL33ioc9jQwXvYifDNPGP0Quxn7ZvwlV2vg7LZ7avSKWqcF5lX48plFf+3W1NTbjT
PNZlm3J9GBO7mbL9peowzDAqyHx6s44/9Iq4HaRiOpPDuTylnbD3WWRGfgwl/mnCK+sDA/9wpxvx
eF8nybq1DHgamaUDcdkY8kYItm4gc3nYO9n3PfqYg5ctnByrN9wUdumcWtQVN5PgWO7qjMQm9XWY
mOaqEB+fcDbQdt3INaPFxBtspeGkfoWhzRei5tOzISqcN9pSfDZDrP4hMTPOjuNK8722UF4nkebj
d81h5Oj2PgYLogJlQ6zvXNC/WC0sErCYS0o3t+TrfdbZdp4VEaxYF6EiZwjPr60ll1NlEaIp2RC/
Xy8/fx5TRRjplFg06vJtl25nJczgtZJ+XhABjbFy6kOb845wjtxDvMrmnd2g/1xY0rahlKbjhabu
IHB+/Qtd6G2NEUWWD4/J3CcLzFCdmLdTUjCIKlfSTWbs4/dRZ/t1NbSHtuO4sAm43FcFm9/BUGSL
r1C4nemct97ARSVGXrWoLCzVHL1H589Pwe63/VB0HNeyVJe7xG1PrklObGT1ZVHHSFQi6MX/l79d
z7/AX2wwX4AVmlbED0dgk48VlpvH1XZvsJDLfKYML02FpeY6yZfMyb8YMd9dE/3sL264XoNrGXt9
mAFWqvaxW1nrhJOmf16tGLS02xZN6DOMMnOPF+N6r0PyhSPCbvI8bsmYJXhdkdh6PfVWH1S2uk2J
Icd0gbokS7hnhmJYN0LtVZyoUmg9w/IV73loTiPrfG1Y4lnbdgcIutw92MrtuqxuPiZJpvk8NxPv
ZL5Q7SC2BHFZd54WMwVYmvmvf5qz3pNl0PzWIRdjQ+gotinG1GxnqAWbRd26aWx0RyvBN7Kl5oEd
NlEP9PPKQ5y7Y9wL90ZvGOAPOf/V6yMcrR12aBnzr4iICqIMiSzrKsjfcL4xjYi6FttgWERlH2KN
oX6mJvX0PGorieuj3pGKVtkBGiV0vEXCs8ulG+Sr/WQvzrcCvu42yy3jyO4cT2hqsEqc2DWRXNxg
bHAQcRPK6Mt292weH0xTPkHjFqg9Kp244PnHntnTtPM6Lrvrf9ou4d/qPl/JQLv/uMhCUQGptMpX
/2V/Sb28H360y4cf3ZD/KRn969/8r/7D//Pjv5KdqUMwgRDBufTvNZ03P6L4S/5l+fJ3Bee//uBf
Ek4DzaUwmLvi7gRKqI66P30TXA9zBEn1iljG+euf/CXhNOx/oCjhImWsg8CXJNd/SjgN+Q8Fc4JL
MM9GrMfNdxHO/ks1xQP89yqqy2jl7xcpCh3LVS2K7XIgO9abBnjAjMWVhWMfWq+1ooPRZHDg6Ern
doNtefx9zvDL6e15ro/StAeM5BZCV+xJT1efCsd8IpCnOJa9DWm2trORFPNE426VUz83QaHF5pNK
mb8Jp0ncFpomaQdkaZtbBygEly/LSr1DV8FCD8QCQ+ckcJY5LgBuWykjAmbdsI8eO4lYECwkV8Hh
uvbo6Rg2u4MzPANN4LaVut5exwAOZ0z3gwC9wVpYnBEjjrim1Q1oaDe23xoc9qdtauJrtuXHRify
GLwehz59PckY0+MdtkkxTKacimnF9Meh8b5tjMQ4hBKX2UiuymVmSQ4G1iaAT8tMBFm+2PdTbHqP
bgUAO+nZdFMjadimSzFusNYRexOIbJMPHp47sb3F0cuoEbu6E7ab1Vw7m6arPuieVhPkCBgK0xzQ
QpwMAzubq6mcxvuGDGG89Eqyj09N0qdTEGI4w2hsyklu98pmjnYdoSn1LtLQLGGeleLPEOlLt0CN
9zT9fmXytdy2kWuX97olMHinHw7bQ4YzQniMGSWtx0H0dnoVjmAtuyoN9XE/YD6x+oTF589QoRt5
7xZtb/g6qiV0Plj6Z1sc2XDHMtduHPzQ7sbAIbnru6hwvtoWdeEFBFHoHyXjj5bbJooUhPXiefP1
oE2Y95WucaraBccmU2hIl9zx2bGZUMYivKOCwiWvmXoysmcCEkzMtAnUTO6hEAvfFlD9KqAopkJS
TAG20913sxidAxZqcRIkI1cTuQKCABS7doFUcGLbLE5lL7uCQcsD1MflhOKDGmxO5C7p+vyhh+u8
G7BqYmhRxngumNWVcLAFAoGP9iJxr4Z28fboKNbHsCT9AkdceWXbqbmJU0wRSl3cRu6wzaque1gs
GM2xbne3WkT+5ZRNGHn2NFEb9MDQXqsqdjDnKPjfAyL08pMErdrxd5ESXeTFqcWLOdsQ1JU8slqH
64rLGozPqCCLw0JLj0uUkc9RhcOuGHQbTkI0HKNxym49MsM/9bxbcguqUO+2EeK1CHuSeQZc16Zp
17aQlwn9+jgnCZEMC9ZPE1z6xhPrxyKFfyINDRGu69QPGCF2gRMPKc89XQI7jRrC2nrrmBNqf4ND
/49qGGq8zhYDV8c57A8wtlLf5nLNnmttsh+matGzrR5nzud66bnqBH7pxyknXGmeMZzE7s7c2/jW
7eXYDL5o2iZYPWfatjOWkAX5Y34+p2JrtVF+ID/nShQ9Tml4rN5AdxmeQ9EhIeui/C7yTBLD6rS8
alB430ZmE34BeEWI+r974/3/6nTw1+1GMfvvr8Xzl4hbUYEPf960x+//7//+68/9dSvKfxgG5bFj
QVpADKsCov+8FT3zHybyWMXOQbXvsKT/6SbErcith9rTUzNLhvTAlX8ZG3ArkgENykXzTmwyV/d/
61ZUvgqvgCVoYtgN2rC3ELJiHfAGCUHxYohx4WJbEsKPSucLKTneJoGye46tJTwl+UDOn1Y8VXVm
7yT0+6ARc/5ltqRzk5Lgvpk7N0glg9u4nu5KEzthq3SfImYDiMk95heDmnEtEKmnzBrvx1ZiEkv+
CowMbOM6HOi2qde2Bze2PqVjh2uKfbN0K67yMoFAlGL5OIb3AyMXG5kNyT8hipE0fJrj0PVbVSc7
hTwV5mJ/cRI9D8bM23eVASjteutNXqwFdn3EkOQ0KpsRkAsW+ORP3Uhmb+r6K8lz+LIORL7gLwwP
VXcUkxqjOm+6b2LrwBv8PhkYA9XFidOHBALjA73NdYXhOpcCJmKV8SL1ZL4i+44oghZf7cCI24eE
Z3tL2kuFlEirg9lJnmaBda42nQbJw/T62jylCz85MbMzJuBBQwLepqybGxPhHSY8VREkc/+tNpb1
HH7sPChJXYNIDf+EKwvLu/Oi9R9tSf5CM+xzC4+dwmq2ulu+9Fj87TwiKxg07WaXoNwlfcQelguw
MHatM0U7uM8bxkIRoRDpQVuGe82QI21aNz8NySqPplPs68GYSUir9kuNwnd2SPQrKjLjaDI/xOaI
ewvOy1Fn5RxvWLSlVWHdyotMTRKqtzDS29Kmo7rv6QIo8+XR8NblkUAdHA8aK8bJ2Bp2aREvDyIn
EQ4ZXV8H9O/R7WzfeIV8QiMBnTG1y7up1cgMGEGBhHUbp/Muy+w/onw5Iwlatv0wYyQztbi+dUcs
voHhoj+mCOb/nOwXuZAQNnTntu1fsvIBX+x6N9K1Y/VY442MfnXfEwkC61/QYmwajzwBjGyR9BjN
eSHLIZPTyJVKrpDrgjIsx7kTT2Hx0cjrGZEn8Nhsq89Ojw12e21eiycEMqTzLKOE2gwpCuPGkmhj
d9KDhgqvlPoXQgOS61X3XvKUOz9b4boUV07Y3Jk9VnzkxVWZ8aFdY/3TCH6PvXuV7C3U7A+k+Pkl
hqL8vYtDii8t/+0am/JOn1ZiG3FDDPBNl99qqxmuUXUl/ZbkZfuOEBByqsIOL0Crdb9IzL1puMvo
GpGFeyz1djjiZZD/gUk5Lp3u0CUnTLHFMU6j9rA4LeWpQ+nFUu2OZiWWTyijocM1U3UX2+Z4dJwy
/5wtofOwWlQbuciyrV2X9nVsV9417Znt6/Y0+b2uR8dBW+ebYrSKx7VP5kdULsNVKuriqWgXbA9H
g2yTtvbaL304OrtGj0cUHp7yBLfqUza6070+lOZZ6utwRdaf/klP82HvRNWMXgzf7ya3s2NLisft
2lbxDwyQqEc6zB1IUoMGQjPMU1+HKbkBjp1OErnudR66ZEky6xN3LoEEHyZzbM6Ig3SCw6v4iWrI
u2mg1J1YKs7J1MivLqwKjAGUXKebr51Az4387PEDd3FPpk+ax6J8Z+piXlze/tXLuBZZ3oaFyQoH
N70RGPZrzCXLMEoyuzU6ulGUn2tC9sZj2o3duTHLcjeEEDNrfaJ4MnBy1qds3U1gZHuJNnNv9cMT
KLzm5yYl4OikuEf3JFnCu08oNmOv28ZWEn3qwwEeEvQheUeEa3rdi+KMWRqQeOOtd7Wt0jFCN79Z
0JBtWElPMpyJlcG47gB3qtjS6ctNvMhHKrAYB8SpuLWHiOngtAzhYz1NhobZCa7P284hNGcXl/zF
qIYwBEBBgG9JuQIxb7skHOdAFGgksQezqk+o0RqyVMao2stVL58Qobif4JJdYfeFDNRAXOAoO8i+
JNfF3tXlQuobuX87VEHADgVOLPjBHpZCx154MD/Uc3+K6/YhRNwN+in6zThLfJCTebuWYYK2Gz8s
rDRXoCp8vvW4uO5Wa7wO2+rkJGz/JFmkT74RmEsCOYW6eU+cRLVpJjv6Fo9yusLS3fI1wBLImZjQ
VUuaccZgGOrEWfqhJpV8Vw9RQRjjRFpaCNo1rA6raqWnPU218mAb0u4EM8u7GaSInzB/Nk5RYjfn
jGnkh0q3xV2cMQPdMsXvr3nX8wl+eQJ82ns3um2y3l1msd+diBDJjemY8Q+w+3I7t+Hst2qnLGrP
uGr3kPczQHVjR+WdO1zF4WyeSYWZ7+smIe1elNzPeGif64mrEn5Ux9wDV+4NPiWoIdUO9tReFmpX
h05WPoL8zDc0+tGxHs3Jb9Q5AJznXS/rZF/XVkVESlOqddC4D646QxJ1mqzqXFnVCWOps0aqU6dX
58+qTiKSwVpElbU4Zi5GtGVkc2TNQMN/YIM6HNMMm7i6n0g+7Yd4O/4ne2fWI7eRZu2/0ph7GtyC
QV7MxZd7ZlUulVWqRTdELRJ3Mrgvv/57WG1Py3K3e3w3AwzQcMOQJWVlMiPe5ZznNI77GqfmeKN8
TR2IZpSXkOSqZhZNtTcUIM479BiYt4wMN4CwnQv/tXZuS0jFRsEqPIpYwYLRJ1oclXKFAbmePCqU
xDP4scnsSQ3sVjLuN4R8DISLqsHJlkZgVSPrSHikp1zG7lIXJTl7k/TqaWV6g/B2Ru/58SGf6kA9
sQCoyAESiWpYK1lJsyuCqgtuzVRHmlbUkV0t2obskrWV5jRHVUlIJ8Z1jU0VsNQxWHnjQJJqNomJ
+1oI8ikqG28LX4O4wPnRWJDyO/PoBoO4GzRpbFLPqtcV09JrPVUiYe/vZ/oW+32arrXKYCPgx4WH
wEH5b/NKpQevjZB7QSpgqK3Bt1MBdfHUpkvJsfk8pVhXllOYG5wtUME9HjGjNJDVNuY1aUrel7wk
G2skgyCO+7Vej2rZmPmuRuy8iWXzpeluHWj768DXj4hJ1dHGw7kwWSYsqVEhZVcko+BIzBaGP0I2
8IJhlRUKWrONVwuywldms/1mjPt3I7dKUhosrGmjefH1sj/BOzCXTl29RfKNwEHvMDJ84LwZzRWG
7f7WKjDigLKjDyzubM+4xoX0IMe6F8NH/BIyQIJMWZFYXNryhnGRs0sLH9lbZB2AVFyLhEQtJzKs
W+KSiGea1HtKQvb8GQWLeFS4ycP+wnX+ZTJUhKetD6FpTB1pPMV0EycNUWAEJz0SxjKuYqMcv3uF
wTOIz0tZy7pqdGjfXgQS8v/6vP/m+JNV8Oyu+9d93v+r2vz1nQno3y7V68e3Ovyp4fv1D/i14ZO/
2DDnUDtbJmcaEtv/aviMX+jpSA1iQCoBOjHq/G0K6v3COpHxKJpj0Heo2//R7zkwZ3X4sfxxCNHo
0P5Kv4eu4ud+j1krO0vbhoPlCrRfv68cyiBThBQjnqqiKIh3gK+Ts6xF26wsvyWWkSlFGu+yNCeh
U6oqJJDKzdtyVcjQ3CMLjNeOYVaAw3PhHA0dQBDXZcQ/sdRFL1OkPEjuLgChtUY43WEqHDg/ojL1
NXJGKzgVQmTRTrNH9QJWlmzlwojyasEyM6BjC7KaUBt+gse6Z6NkNLLXF67q1jBdTVy+rv2mppHM
dx8FBnYVAjLSVW4SYbicevo1pqVxtBsg6k9Lc9BHc1cOcQVJbWKGqHVwZi6WWXZEMCkF+WYURnAk
Dtu+Y81NkndSdlBWCYNUlAxaSWFkuZn+PYz0YlqXWGCblW1r9jUPfRscl58FzyX4Kix1rj++W47W
XFSc+rPhPG+XLuEN7cKq7O41jOthT/uTIevjWn7B9lbvKt9mb9kXuo5M2qEfzkxnbxgNUIeclT0R
pjldrAWr5aFxzPEZ9Typb/lkkrjGepPZrAvfngO7ShDd0cOT9TYPoM3M6I/9AF7WylIc2XMtfrIi
etd7kxUd8Z32WAYb21OW99Q1BEGOJQlF69TTsWRNeWDOGaGGVqSLNGiqaF/WtdDPJCv0RIOXk1V7
mxgMjPtQQ8eZ17GYW3xHqWezxmFbg7jnzQr3bRPm+H5Uv+aPsW8szy7JjHAJajdgKDFPlmFnnAPp
YrzRJMEzcR+XK8Mn7s5u9eHaRPr3eCyZSiS4SHvWPPtCQxyLhI5gktIwQRUB8u9GfzqxmQwXmRUJ
yC82LVBijJinoa+Q2OL0IAi8Vt6jK933SjMAu2m+R4nXZms79u/ZLIM3TbsnpnMIOxxMIDwfXBri
w8gY+XfVvh+CfKulejZL283ljHBYW+gXj4Fp5QeHx+aaWUrbOwPJb0BYeevK0t3CWppJkOrQOnit
As1espyAruq7R/QZ9dG1Cxr+Litv05D8MlO3ww+7q9OtC6H9KWoEmU1WInYtIYxErRZgT72wXRCz
FZwTV0nKgLa4koNVnLCRYE9KxLRmoKjPflrumCAd7pOGiJKxSYL92PZwYqUkC9ohcybyCn8lB0tb
2EUMtDK27kvyRNkXB7AIA9PfOH5qr+2cgBfspMai81FSGU17pLUiS8cPEZrFo2gf0lBdOlVh7NMn
csPA6yAeCJuzH6Zk3Exjw6oWQ6sgnKkQJlu8ahmM3RWRToqHXbvPc/WtbaNLgr1sIXzoPGnTNABf
a0lQK9+ywNXwKfMrWHuS/Bkxq+Iwsh7sjud/zIgpz/yPlLaXltC7sGjUv1VxxJNeqBvlyBZNp0Ng
oqfRoCTDd5k3Ny3+kWXZa3zyyspIwUkmDS4C64K0bXB3CUCWVqqBr0R7QYBsfRuHRBLldcaglmij
ZS/JfEpHMT1rvO5NHPsTshS73MLx7Y9umADEcLX+HrzCvdNQ4qVsn0DSpOQl9xXpIfZgrxNryO8q
uO5rQ9JG4YSZTtg2W2Y52SB2oeHDt0Wn2jItZ464tO08WI0ULh0IXXN8jOKG0B7L708e6x+CZiSB
EaEQ701ZfVelRSBI65aHwfGtTUilyZgDVyLbq+zCmsQBOFabhwFj/FuhchL6kO7ww/eQoe2GgBky
a9GKmnMKcoOTcU275j71nhl8qKSDxPDDrXr5e//6N5LWLkVErf6f/+F8ehj+0ddKFxsbFg2WdFhg
ZtXEPK38QXBdFPSRxAAQpmzWXbPyjT5zVk1UjOea2d8XCiObM64ArNJbJWmeedXlDzkJDojHUuOj
DUovvkVkahjrpBFYuExir2FD8enDLjG4pnq9l4ABCGct1wzvMiYxrhHuRctk5jywriCWmeTGx5ps
lusIhMlKUbc6nbhR0eQep6lNLqEbckSVyq8hjVjEqjRmU7+BhZj30qHzlNRjwfwmGXE0S3CNC/Ic
XbA3EkqL5yf1vu/luG05328gcQ+bNIS+M1ndsMN45B1gOtOtmay2LRJv+Nr7zaMXk4/uEPUCARQd
McML8q8a6hA8OCKGacG91bgFQmSc3EunZ8q2c52KnFOUL6hxtnj4HQyNkMd2lT6K7Fbakbum7WFS
1nZELEg5HuraZNkRkJdL16BrVyZsaj0UjThnY21daisM7gFerierQj4RKeLH8mkmBMZGcc4Y1zEz
0twzhADxlGvKYjc5B0izjNyETU4UpI5fROkhiaOBex8Kl+xuAHnxeNN5zSvJ0iQUMYI1kSSfVPzW
dYiINMO9LQzkHQKd5wpBfn0N9QRsFp0qKAlFtN/MikZYrO1yvY1eUSuAsEgRcreS+BAtv5p9G51C
PwthX1jOpYvCnUSbuudaSZDgOeljJRVZDTUS4f0kW0bKo6q7tQrYo0FSyZ/jcU6NM9UbwH2xrBhy
LMQEgdDg2TyXsjTuibd+lzi1rkXINw8TX3uqG8FQQCOeSyNbS/jTfg6HCJgGwNr+SEdbPSOHRSLo
kp1tb6F8ipOaVGdyKAsxPHnTwPTGy3T1OsIKZyCDyORe+JqZ8/pkOS4dVN0vhhWEJ1c11olweeet
j305E44QUwckS7+hdKmhfDikWuZGI7aeppMxHBKlY2axc29ZWvNuYT5bJERr35v50IYM0ZJpK1KX
bJ+yFUc5hNWxLVoabB8zwFeRucFVJ1z2mMacN2VJulXTMlJ22C+uHUdzH0qEXmRgWc4rVW0iuU6G
wNj1DF4PEVG90MMY4+iLOtWSa5+Xfb9E5W/RLzGs1NF/ZFiDbQqOes1hp8pNwlp+FXBiYRyvprZc
YhsJTpDSPd5OM+bal1A8MNCUV1bC2dMsp/3WFk67o/RqTI7IAkm7Im54AS6IlEG3zXdq9CZOPxfW
2BocfM4oHWRNMibWqbCzjggoz3tua4RDUWYjF6v84DpppF6xwq3ye15G8mBME59uSTAJ4QipfnDc
HkZ7aQv4mG4tb8OE0JFl5ZXkx/pFvTYr82UEFHVAdwY8Rh+TmGjySD6Pfv+9U62mLw2j63aGnm/I
AOXq6kUstkkyDl8riyiyhT/gCl3U0NpeQft194ZK7Wd/kA7A+awjYyioTTdaEDqFN8zNrK9TAkaR
S0l7IfIkvkaG772quhweDHtW7qE5TlAwmzV1SW6InR0TLLxGgmuSyEg7uyFb03lvHTveKa1tkO8h
Fx7Wok1a7tUCzSxr5Wb8qruVdsJgDAot92OLUV7uJzeaHZdHu5U9gXJm96FnFdgVvandJwRLVYNv
2dSsGwbdAZ2GqQfPZtuPPhveIcqWSqswhjRcFi/I57J7QRjrvvchb9kBlm0wRDYaQNsnL1V4VGKL
vvPqA4cenGt97IaU/IUyGxdi6M2vjVRjshtouN/GuEAzlPlpd1Qxm6bS9GEIpYmspxuXGls3VBLc
jAPHy8bqG/kB1N249SOHaVhsViR6Wub0CDXLVGuDNe9OBIP2Ja9FeGmc3H0rBqO57wxaqGF+JGme
koHEP4+VNV7KGO2lW/KMLCukebfwgox9BKqR/mfIeiQATZClC1S7wQVyCmh7PdLOYzxw2Eud0Sze
qFT73rR2Dk0rM1nh17UuTuSEoWHE09EdSzhfLywErDdUlgzTeeTLb2MTJHujdPxkWeCzec4HhLub
BIs+uGnb/m5GXUduDqy0ddZEcEbLSA5rX+uSblHFSflItuZEvGw+ZGt8dG6x4BLt117ijiSIavWA
1SGcmpu6ir0zWk3vyvuTn/qGpQQireolK3sDkcs8oWb+YarlAAn6JWuKhuhFt2mrJfsQsTaCfthX
ttbPgZtxv4oF6rFljFePAYoairNtq+jcRmawKzWrdhe9HVi7Ko9EvUxlii7HYoxiLsPIRhaXV433
CDOLiDJRyC8G8T9v9DFWQehHZNuLkmiMkUchqk7VOIzoDBsQVGPVP5u6ft9pTfmQdSUJkS3WxzNg
W724dMkQ7rrJFK/OpEl+aUybU4TyYF8SX7eGfFE/t6VVfx8C3UVR0RfufaEDrZrsOHgkzJabKOmI
fsyqLAQiwNyReFQjTzYUwtoxKFgOb1ql5fuQmTGKaSv8wqLTPIysV6tDAoY33nqt1tFqV25/IpK4
OksXqktKZAjI1mxYAEKp99Lp3Beo4sN9Rbk1rAzoi3taJSfYGIOV7hkRZ9WGYJJsNbU8naDfxkKe
SwP5+UonGIa8wm7cMjezXrsxr/YAWYmDNEit6z05QlmqWMnQTyoqsBBtJnHBpTZctKrPFlEq+ndp
Bc1HoFINx2qMpgbuWjdXrJwTr7SzHcDevJFLJGCMC3PNZAAheklZFI+PAToNY8Fb7EWQ4FRML61C
UMcEulL+lnyxUQp1k7XSpFvuGUE2D7ZIYwMk7oCwV0+tPNgGwEwXOODKo0sA5xYPw4zPbIdnVVh+
gk4rc3iGq/ncVJE+WivOcwtqLYr9i8Ic0K07OuFoO5T2SH0hiwnsL1URPsA5ZT1SKEz01JsWqmyC
96marJvadRN9DWVngrGWBUlAELYLKi1OS50MDn8cD7MihOWN9KpwzU6DLEyPsk1v4+zLQNTbN5H0
7l7XvPxJiCR89PKuHRedifin1zVjXxjoSR1StIjvDd3lBHTue2L0Ix0xrnHYf1mekgNZu91qNMgQ
awahbbmSyhUSa/o4nWYsMyVtfsAwBX+sFO82qJAZa6bEw8RqYp2bNJGB5xwktq7NmKKjh4g83XfD
qJ9SpjMrU5ujt8hIHZfREBfX2vH892JS4ELYLN6n+jByZ9dkErdFo9EvNlZ0nRhK4RMK0yeyOLtT
mtjDQ6Fkjh12ggLFe62fI4nB2MuVf6xTXRw6vvAPY0PpX2npuAvkgJwgGvLvBbuCszAr8cBjTyUc
2wcDUe9+MPzmOWg6+yZzjOlGTgYGemG1e+AkaIEaK9+aCYGfUtxTk1d3UCvKGziz2B9bq9glTuS8
6Hxyb75FyAs9EOsdJu8rfzKSW9Xm0aWW45Ixlb0A45AFyBmYM9S+GXx37fCLj+d5Zwu1zqrUwmTs
9cuCPnM9WiwOG9W8eERGbsuk7rde6FVrFPNASx3slqiGnzwOLNS1qt+LOno3iHycpxVkTVQx6ccW
1GRhtgcz9KOdEzTpje/G5goTRLQMjCH9CgwhP042S2zPokXgdqh3+PeaHRYWudIaN97w89QsKWy0
b94W9Zf3byTofzCF6QKhpY4C1DZsUj6cn7aTGsdv3nOQ7M0uMik75yrNtYqAjVFu90vBIzQuMWIZ
C9VaUMjHVu7J1fD/LfDrDz4fMBuOYYt5tsr/We5PaJ6q9eHpGRKZJQk6iEuaN5TBPWj0zvbqs+vm
hnNJdGihazjQ/bUji7OagbuIAcaO73dod4/9gL7nqRvZR29ICGZ+ZoUiK18RDEp7ZdeaeCqBEF7w
FPHOO1b67BINzlhiHshlfWe8yXzIUUTSNT4x/kAK1jTWvdn12nsVEocKCjH4gj6olaCeg+i5iayZ
BdbZR0+PGArAm31yq4AHJQqHu7JwYiDWkI8Q5+nJDeTVamWNhUUhYQXnvqiKZYNb8yplNt6AVrCO
bRpwHRIbtrGG9Nlkc3/XsC+VveEuzXloKefxJUGrTDIB43BCauAuwjUjV3FVn2NPVsOMQPG66t8J
RmQcgC5UfqDpdS+DSKorydDGk2PpZbko4XAz/poL9qERLfEKgRvtIvTjX8CU85ymn9W98Vnpe59V
//DZAURdMr6LnN0KXap7jj/7BKMprJ0/cKM1oOJMnLRzO8E0yXnFwZUuRIJyQfPNL+jD270aKvQs
Pm98Mo1iocVeMdu16FmwYs2ShrmTIW1THGGM8q9zn+OHQxOu3Yn7OS5YKMVGT0c090bu3CWRRxat
KpWJrVlWzCjnieiS00R7Sz+brGHut+K58/LmHsycu7FRY7xdAulFlwJYE/6VF5rTPbHWyYtAMvIq
JDb/VQ6OfXhimcabJIpUnJqJ/nLb2w6zcAbp6rnylZN/aKHTIoUSbfAdUWVRXv587GL+gUrDuEWy
lTCFyX7CcM2fpdG5E3cge9t9RK11VNoQwO6OyG6trGSfZ7q7L90qYxPYFv56qIqzy87rNhwKkH2a
0wMAbIKSadqkBSsmADlRzWg9r3Q9Rb6ymZM+49hRHTHvVnlv91BulUkafDBG/dqRwxmf9bkHFQlJ
tTe6WwOeWMNCYfDfsb2TLhkpZ++QU3xH0MTASB/xruUY98oKcXL7FxI6YFP6AX40y98YenDPd9w6
AUk80phBp9RsvePE0wWyWIHkY1WVrrMLo1KAHHYoULk79F2nZHpB4apfQNZgZS5sETzgvM23AVKR
dTC0rPAKq0AJRNtWnzhcyotb1fCoqWSalWC2TMycTWgwSos0OUyljv66NQDa0oCr/EO2Na61xG0p
JJGHm15XP05B768KKyZdFM3UygPOx2Yzlf5LyFbhZRAjAvE+K6qN3yQh+gUy7rh1bcnOIm7YmI7B
LncFXznb6R1+vgpZ+4iy9SPzPY/rq9X9LZ1wHq0GYtlnnzse64VsO2/n6JV/R0pz+JaBPd82JGuu
fT/XrgOTESYFEWFtkegOacwa2NQj48RoceKppOhEszTcwAjQvnpEYaz54xrsMW5+TaJ4DvsVqvyi
jz7fACh7i65vmJmxyQk3TttypU2i24yybF4604geiJw1H8sY7zf4QT1EgVNyNA19fDfVTbAiCce6
EZxSS1vKZl2wawCGA79Zhkb8JddreEDE5wH9gK5nHyI8CClNjOPfQojSt44Mdb7XXmzdqqy497we
unfKgML5vInwttp3jlYFx34aUqLSK731FzHEQPeSJ3MUoJqXSMbnPsloBpQg/ueeSZ9XTsgZP3NU
502UX6dspbwIfcfayc0343Nr5bG/Mj83WTVOvw3+G/mYfm66chObwAKowUyw5fTOV5xu6oUk5DTa
Wbg2gxNcRoNlM/fYh932Q0X3bbolhQDbtnj28yA9GvgnnYHlHAntqPZVSvBH3wtjX5olG/eutGmu
W4+Y3kXjAcXbxa6DXn5kgCFWVWQUN1ZrUU+UnzPdYR7vJsJ4Ll0F2QBPQuJFz1E1f0HMmM2QjA6l
PwEw6Ty5UUbRzq8ayjXS2JshZEVUa4XYEcNav/75QcWC9PdaVWnMDg7TtnUHQoY97zZ/mA6TSN8m
jETl3gtg53rnMqluVXf3+Zf8JYvPv/Tv/E7N/FBk/O/naLf/mRYfxMezc/Rf77gfqki1FR/I76TM
v/62/zL4zILl2V9ozRhRyefzq5TZ+MXAWGPaOOKcebfNBfLbatv+RWD9oQLjt7gE5vBLv0mZTVTO
nm6DoXLNORTqLwWj8vT//HiwHudwpe506Bc9ff71Hx4PlSeaNtpGu7N9e1y2zAAWWu/uso5pCnD8
Z0rsgGV1SK5vDft/Kppvg2k+wRd5zmSqX/2SnYAo+4+GuRuY/KxdN4PTrjTN0EABlvl9ovT6Zsby
Lgp3zFcTEjdMevGdozQ2EqRr7PI53yII1AkCPNSHaAyJLRHPhccM02nHa2Hr3zKVXlhPQlIOGFnk
hMjAJdc+mGKwhAQWKAqt/EpTEIAwYidA0hi7YAKz+FuD7mtUpzsMnrcY/4iNb3oY8JkTXAI2mtgL
INbp5Iyiq43zWwI+rJuGHM+D0pRzG+Y+amwl7QyZTDo++l7woEfJaw9cKSHeJAWrM0ItxPq8joeB
gFPsmssQxdMiNu32ikp2m1SJfYv2b9ibiWg3kz8WJLF6XEmlweSEa2Uc+kUsjPa70XqnegyctVFZ
8o5mQV96KlyHZZ1sxxpSFJOx/CgRFy21oUZchNsRsXUlD1wGaoVh3KRv8uQ+qQwUW2ngvDXO+LUa
vBDF61TOyGLU4h4xOyq31FvreNrRdzp9z/nuLCKux9WUCvs4JVW7QZD3LTaafkuMuTxXegziJsDu
3sYGnaNeuARpS/ZxIYT83iurQ5kN5tWtpw+lEAgVgHAoUdrk2SrGZ9tVs5p9pOnzYuJxap0E6KRd
q8IOsV9qCdGd6fcod5OdLLyvXgP13+n4z4E/jeEG3Vyz7jL9UEiHB8BNAPsjtbiJZPrADO8B6V98
cHWU9FkwRA+1T9pLIsGS1VAGwEEF6ZXr1F0aTEKgXHjWuo/IbG+U/UWijGd8r4kjyfdPPK/et0HP
m7Wu5dlpMotqlTVhtu5U/eBrPnDWYe0UAyTxqX6MJ6Bvnd552zqnAwFc8JKSMb+Lm/pqCDWwUpNq
gWun3mR09I96QJy2cFzaJu8BbDzifwokekOx7EL0C3WXMQX2OkLthqEOfEB9lNDbDNLfHmElU1By
ANTFdgamqELTVmGVpGeP+B1Kr6DfZ5GhNuxHqjNbyu7gB3YEBgB2SxqGHGdevZ0adZyhxSG5QxUV
Ql7E1zq23a2pmCSRmPpoBPVwz2YKe5nj6uxrAlYVtvPF0GNzm0Rd9pjGhJjyUXXrXoxdw3qgYWzT
av4Ly+Nu7SdmeRs1NVKWsXcYYrDqtxYGihZkttW3QlVEEeOgIrRm8k4OsK+7gCXeSg1wurmYrWVT
OwekhdaZYgsmny+Yhnp9dNcbacgeh2JQjyfwEJozvTejt4sadusOweU7F+07eeaTcecnDYEaWoSz
iap7QxgP06Lal8vOCcIVojGaGaxfSEJCkVP6pFR4o6bjMei19mmsPedLG7RyV7qj/wSCFsOsjl1e
dAwSGZOGewih400pRfSFrJPylhUgXWAoJvOaToZ2Ygk2wZFN4yfKmic9rJoN7jI2DQFblHq4qKYz
vzHH7maadL/SohqHM2pBYF5DMR3cUIMGWKu3SLT9tw5b4lkqq2fT6fS7pnFTUDFIbjSZJljugifX
TtVJq9wbaLBsw1gBBMQPgXXXlxmbHNbq5c3Q+YBpmY3Gq2xIfJzFobyx0yy+9JOvbn2jic+Ufai5
9fa2daIOMUZTPrEibBcmnL4TY892GY7kLbQRbNysHnk74yn+0nm8jLQfp6sfTneDwBRnMilY4UaL
9owh77iHNOi5PqEiugjeKqD7OyPVHoKh1NmN5ig1zbw5F4krQCFN0QqnIt2eGd2SMw12P7CLOxEz
Xssiu2U7LbWlkNJcAFL2wWwYeCo0HLF7ECntismZWPmRS7BwRb0zaIxPiRKRRPsRHtBJi1M4Et8I
asgxfKTGEgHaXYacNTJd0KcxfjFmHTBqdKxnSRf3wE3qad3hh11kPmSnIvcfAYFyK86vASQIi8OI
XKKi8cwnt+PbnArTQY45eUfiEBCimJ2w5/TfoH/TghZRRwyl5MFU7ndRx8esbzl9CV3qQ8b9pnvu
4NkQ+pxYGiyvsGcdGwI3cRNUG1p8lYOhjlJ34keF3H1dmkRielP4mOXOVuAVXDncCTk9nPcCHhLe
q6c+ioEHyqnTh65kGBAPI+DuVD9N3XTMPJpubrv4CyFZ5h5Um7es5k/axZewsbrAXLgZR0/DCjY3
p7dWFl87afq8qZMVrlNTsv7Ezc5ggSUd8WEX2G/V0dUDqH0QNyPGXcvR79xlweKRbreGMjHlaOFj
ae3qLqkeoGA0K+S85dZBvLKzhuJV1ziFZhmub/prpxFvY27uelt8ZG1OJGxj5HiABEYzCri/VMn+
8xr1d2Xsf6/Y3X4rTq/Zt/p/S7lrSaaO/7rcXb1+VK9/zyjGxFf9bffafUujP1S/n3/K36tfaf2C
487VGSRK25khTL9Vv5I61rCBX1ARw90wZwDVb9WvjscPPjLlmcABb/7gbtd/0SmmmZLqeJzN2f33
k5v9z9ztP1E/EI/iopewrDnQeCH6T3POOG7MwfJTf90jn4jjYevY4caoTQIc7e0P79M/EekYM3Dm
B40OPzvF9UzwmNlJHv/6+zI7yDQFVL32yZbE2Sa765iVuzqRmxzqyOSVL5kucNw9edZGk9M5yNCg
h9YzM8iFGQ03Q8qlztP/b17VT73h31+VZc79IS/vU9D7Y/Hvqwj/Qlb6axWO6yYp96nTE+1kyo3B
5HRiOS61bOmQee6Sr8SuazX6NnlngdqKZolP/e7PXxDbwD++T65pAT5gFIXphe7md+1IFkqlkSvn
r+upDbfMu/YASuwrQjr/PISIH5TQ0rNKu7YCxTMB6oV/3kyCajvp7Flh+1WrcnHH6ZDSoLv+jW1z
/8h8owjN4k7pv8rhPaUP6ZiWOUV+dLpFlKAfZ6025gL2Nes44hWsWseOTwQH+TllMa1KJCwAEI96
qa1Yq22Una/ilGkzu/42jA6Odu3N4ooPYGWy5rFL2K3uCBilBYlL+p5uHgKHmVJZ3NaOuWPZtCir
Z1R4ey0sl1P3puU3aO4YSPXWQVGumfYu8R67tnvq2oSwzBGGsBrk3m4eCWolcAudSVdsLWIoszpl
0hvcTUxxZHxKuX1gmC1dgadG+gcRklRJxLznp7ejANbV5QfLkpuhtnYO6mEsWM2mjN1xo7GBxDy7
Mh3aixBRol0du9DZwHwZECO4Nn9n2lOxdxurLJD+POGRPTCyX8qcNXkqAJ4gb4iAC5B2FYtiV9X9
Mkhr3h7+Gs9eqbK/FpVAc8ywSLN2beNki6nvoPrAHY+rlVGSb3Y28/I2R2MQRUAPENfpundQNt/M
zl3rMcLD6D7pi51WndD0bNgCvXaU8Lb9Vg7F17p+R+KGoLpEG+2da5Bh3niJqnznkm+YuXLDrncZ
+HV7wmOs7qPG/xrITDsi8LVXEg6mpmJu3AkR1zLg0TIb37ugIyreAxzj0UIp3jRms3GIBCT9VrNP
vDOnoHjFa0rdZYn5S+PP97kf7mVv30ujNb84idntUWi3L303hwlYXrBF04YSAU138JipJCdr1PJx
aOQUs4TioVrw0djdcwu3G0ABctVULFoXeY9UnFfhDLgRx3SXiwyX3oC76xjiwrllMHUWVe3cVVMn
r42ZlZvP7+n/XZIPo/r2n//x+pFFONuodaL35qfrjcd/Bt/92SWZveaflyRr+X/+m3+9G+cb0GS+
x2iA6+EH9IvUf2HI8MO1iaLzH3cjvwLogcMaOCf5Uf+YDHFtIjvCKcFdg4gRHehfuBy9nzwPNlhI
hoX4EjiIiTb/w2Co0oBD54ZNEEL0vZXOSVZiqxzvIfbBcegx0veRyUhHQ4yKg9xk5wWH2bb1voY9
x5ihBTd0Ao9J62yho28MAlTjW3Dgh6YXEKpSauPuSIrSY2my722CjZrENp4quvplEfJlTtWNUS2d
1t0g4VzHJFukcbVjSbtPHOvOqcRJONa2L+072zdg6y7mqJQhCDej8uBrl/eupu6ngXAeik87LJYJ
utW0eZvS+zFAg52h1hucjbT7o1Qua+7s1lD2KbeHR2XBX23yCyaTtRrJKs8cwvIaeFP+w0TgFQ2p
/VA7wa7q43Pm22wGQi/jPKx2k8+mIw7SuyaQO0vV6ApE97WpvAekXs+xzVuGFZsMTWfPTmLN0uad
bQ0Gr+zWhrDxw5P3z8oOnobflR2fH+K8p2KLa/DU/CQNHmEj1qGu2UT3lCt0U5985KAvz2Icz7IC
AB2GzF0mudaIIev4ZP78Bdg/1z1zjaUDxnaEI22d0I3f3+eYU8HemJG/JpRuUpxNblttBh2JSjcK
Fo6hebb9xNm2/nSJy+mxyyPrlqpQ22eOFS3k4tuIemczUYOQHmlFm//P3pksR45kWfZfeg8XqGJe
9MZmMxpJ40znBkI63aGYAcWMr+8DRlRGRnRVVsWmpES6NykS6QPpNAz67rv3XE+E+TYs5/OY6QNe
QnJjfmQcTWb+fOadjZkl3+zZpLPc0CiNFMVsB+oaKIt0QaqEziEMrKt6JH2Bn5klQSN/TNhLVmQ/
7joz3s8NoWTuvRerlldof9d+0l0VOM9OZV1FV3//QfpfGyX+w9/1P1M6Xx6T/3KWWCsYIDFThPp3
npH8yd+fke43muJlYHuMA2jUi0b+m3ruud+QzDlAuhxe6SfjaPv7I9Iyv3nUTvMc5Fy7aO5c9L+L
5/yS63vE8l2mZ+K9kH//xiNSLIfRfz7UL7UcgbmgixdMFvVgf764O+V6uZkv0JtB1085NOHX2iMc
5UuwWazO9PidAMBHmAr9k0Bl8TYs0Ru3V6rb2s1Qbr2+1PgDjOBVi7489XkVbYQfZ59OFnUvf/9S
+39ysOX95UtAMv/05FrQcb/vbJb5/H//LwwJ720bN//X9fjHH/7tgvTtb/Yyfi4PVj598w8yjW9+
gzZKTzZQfl7qzK3/uCKl/U2YvOmXSfPLXMP38vsVKbxvQNWWOiXiNwyHDOB/44rkOv/LJeniBONC
DKQvF9LqX+cnoKZ07CY9jeh2qeRuFI0mBEYKZj0FhOBWVoVhbAtdFgxYH4XAXTyv6uaNPcrRWLHW
hysOX+dcACpblR35llUXkrRC5soe0ngwHp3lUBuN5dJ8WKgrnXtmtNOOl+8xswZbz+J00BSN+kTB
miFl8LpUMKHpQglHQgOQn9kWhxDkryJR2JhnpYsozxP4zh3LnIza/BB11oQ/7wCNs/NXsseZ0sVa
XykfRtrIWUXuJqBSKbSRiMSTl034XgsIjTeEXlDtumw2H0Inzl6tcYweSomhwjUlPaH+FF3jjWe3
NRn9/IFp1HkbaTTFPsyebyBiRLlOenQSiX1SU2i0LhNBjo58YnEZm4bRc06TbUGL5KqQ41Vktsjw
uaJCydKQz1i4rO0O4iQRTvGxeOSJ25Qd0TtKmtNzrdz0Y3DJKDCZZMFnVBrRk2Q5oLDqsoTHf25I
sYlkX2xaqGXbwErtlWnFI/pEJE8JHwA7Olz5oNj6KyKbz1MM02TjyZF4z9wU4zpLCrNcz2NdYMSa
U2spEvauO3dI3uPCzn+aMmS3oPupMvDx9kjOZjA1Z+yLADmchvEiz2eIykHfRuPaLdiCQ40j1ijd
IbqmeC04jdgMv6smbNp1DnTZRMaPy3plLS2hpGfUK1K6HeH3l+pgNXwdMVlFv0n14NPwHrEUXBwX
Bb4QygWBfcKVPkD86D7ZCwxqZxEUO3SxEey9zoNDISN3AqrfEcvxLJ/AFs6V5qklrHvBNmGfQ7dr
HlWhyveIhoNk5ZLODK44f1noF/5Y/ahzZ/reBKoUGwesEk6QRFdvoiNmuZrF0m2ZJIV+oHgxuNiw
kMPNXA3BOQHTdslVjT3LL5SgnJUq4TsQeeNzYxPURUw2jZ8gjB0UayH0q+2l+YcLgnNPlpdfL2Uw
PDZFYeVExnLgB7pN1HRAX0GJ7Q1VsGdkN0S3Fhs2eIhUmg/Dc+AO1b3TlvPRIorPfZvWB8zOBl6X
yiXAb4K62tSRM9br0JTpR8TNtfzRkEOVrbOsPpgx/epbu3f9Y+8AZcjQxBns7Ww0X6J6Ml8XIt3E
zrOclzwuH6CP1wUtYfKdlW/VdM01ph7Eyqv96DA3ihBS6P4MMzl/H6JxK8KSZeJg/Sj7AHnETBP9
4XgjGT+8jeP3sU+KTd0pZmyjGR7Z51Rn5VvhIaVi81TQIswGLGr5ZS+GKUdK6GVuPJaAUYNdVVLo
hM28LU+eObvtCkQVcSXSH1geLYwiyP0HyLV7vu95W8Ik4tg6yhW2Jo26AvN7ll74HEhUgqKFBgM1
N3DXhuCgR6BTV/Uazl69odWbqih7jk2xzocxL7cSXT9H86njn0lXqafZU+rKTEUabSFAyGxl2HJ4
NbhRqIYCxdWt0rruvudWojS3SGuIVRrP3Npz7tQXAuP5tCu6BFU8nyts5EbVkspweLDATexu6jqd
sJMUZXls86Z5bZYFE7LQZ0qTMIsPzXO6zzIwQEG67AQ6gygDSuGT2coEBjRdVKtAjf2LHUb6bIVK
fRdwaaBdOvm87SSLPC5Y6ApEhnMTEauevR9N4WeHiJnDrGObsG7BqYNXCQSLCKP1p21E0CAM3ZFl
K9phuI67LoL24USTA0GSGNnagHKu1vaQEJvj3+l6hy7IlL9qkkhYm9QMmp+T3SCcDKO3wtfMW8am
GFTnuj6FblxgHudMRBUIGOJNPmRpuycA3ahDSVnXzo7d1jzkcwFPJ2ElEGPqch10nI7MLv960242
XJr1r5HKNWAppdyIBrP0CiciD6cgKx4Kg9sN7nA8brKhrr/HHsG4FWsS/66ttHwG8Yht3a1TeTZV
KZ+wsdevUP39k59kEfs7ryWR6FeRdVsB2L518Yg81RNIFh4bLpeP1/SZxZAp0nzTxP315LXuAom0
o+dAdGa+GUtP/DJravmu+A6VxRbbIauo/Mn/3hImRPvJZHPNfevkh9CWKF96cNxHnk363OdBcjOE
pdyhktIqE7KcpA9Kz1jojdhQ62zOxM6oyxgKWui9TIk5rDK20bdpEphrMJw0wA9lfGEYLNZqFoK5
yi3Bsaj6uYvM9KkKrGojpu57ZXrWY4ur95LSy7Pp0sQ61E5uPpJXMH7KhMKHlYwkLeZWaR1ZvbFy
Ix8SPuZmhIusjB/L0jQuYTlRzjoV1CX2KkkvRiLBSttV2a0HFFVU1oAmhG1sFjRwtfzYKAf3kkVG
zqBFcSVkVvUOLyGEQNVFuMa9FIDRXA4EeTEy4IQjN5IN849MiRjuWk3fb9GV6rZ0s+acV723rQY3
fotb0jJVNO/HLhj3YQxyxnPz+D3sJvZ1/pDe+2Cz92wG54PTq2JXY3RxidBJ47fqsqlTFo5j8pz6
2nPy/C1TPUA2X8gR1TFLQQ/hs12ynhUPl8by7SPKb/tYz0iRhaEVYrCpt+2yE83p8IxXaQmnz2xs
a2/zAFpTzNM/Orxa7mwjsyLaM4Y0XKmUDV5pDs37THLn2m8wrbBYbdSxL0N1E5m9fDDtrrrgDUmw
XkaQjXARkEJ0FC2EmZ2KPS5QuU/80b/B3hy1NESHJvkPU2XXbgKkm9Be+L0jtnDfMh790nVmebyV
OUqgtVQsL0XNPpz/RxvV2om6IrvEI0U8KwffM+/vHIqLbtqYvCzBixc5w7bGq1Zd0gqzKWVLXg32
oRHWu9tzaN60SaSeXbtRejegABj0WGDVsKNk3jTUIYV7C7ZpsSbUNQ3HgM6sEsdO4r70lBc9FXnc
39OOWe/bNBe3g1SSPKzTtOGqM3g8gLmP9m6etd8JYpR3GlhegOje0SBUm/WVq1Lu1TnKk7M3WdMZ
T8wA/wAY1R0H2AGvddCrV0UnKwTDoce4YKfKejSTsX6xZFJdggYnImS6+cbv3Khf8dqyx41TE46n
JyCec5yi3mdp21BNaeOZbow+LE5BVZh7WqnHng6y1mAf6rk/5tlvBXUh9vTeqhbiHuBiY2tPVf+R
SAyiOzhCSwG5Cg4JHKu7Pm1F99u/ElIOBePsEUg+eI8Wy6rVAHP9hZsTn0kdF9XFX3xMqs6fnDS7
z1SOWTWLmnOQK4R2iyZdmgN6qF45Ob817up2U1iSDz4M3eClEmxgV2E1REgoNkzxFfqR9Zy4YX0O
KCq4D8rSve+x4F4zvGTnJpqyVwMnRrJ2AY78SKdZ7bFgOfDm6RC6gZfY92RT2/HNjydzOpWj1U/s
MESfnlQhBTp3FE0H0hjOjzCLIAUUJqHhgqQXxSUVYeKV1H5wU9QRzgDeXD8N0bg/oyjU3bZPUthM
3YyItnFpyqWprrdiuZdlEOM9aOQO8kbyOhvGfE8KheA+sYSAd5vqnwWG23tYRdkNiaD5MsdW+9P6
evnqMFmKTGaC50MU3k9qaj7G0m+uPTJlj5pQqqijyF0BonLfFQFAIq+2r+BphpROEAPA5UWkzbol
jDxs6JGJ1ErFE8v0JnOCbmUWdpoeui5ZfJ91w0OjLtn8Z510Xs1I1KSt67bRKzPWw6o2zeqHbdTt
gThCfI2Fp7yL86F+0Wz2P5sa6lVWpOK5FyYcqBG49DHou6bdiQFP+TonMXI0Ans2jnQGmgfpsTdM
Sb+KlTOp9k0xJGerUbfdOVZWXu1T12+pBRVNcmYkIBijB3moRrNOaevEui0cxTl06jHMqa6oqo1V
LQayBC8OHRqewUdHFcQpzxNWHT0G12wjQ1FeiCfPhw5OHqcbq0v2jtkkB98piOEPhpD3EVfmYRBu
8eGXc/62TNktXwHsyqazLePB7HR3yTOhX7CPTcdUWDlHVV74a+x887oSrJ3SsTc5YhiyvGrMqTqX
QYQviMhfGa7LrEze8zLT6iDbOLrFt8I/IU3x8HE/JMldF+S/NMZfi9sl39NdnpC9A+yzmuCCrPXs
OFeRGgXBQNxAj7RPBPejTOat7c/SZkXTuelVAnO7AyhgNacmdny5cWfbXrw9bnVoWmz9vVPEBqOp
AkycyTh3Drpt+Gg4xpt5QHbfGZDCeSO9xyDV3XURh024wlpJ40AB1sJeSIhhD9aMZoV5aJMFUu6q
JVVKRnllpu4Wr5m6aiR+PJ3282fuC3c3j2PeLsfIvNp6ndL+GkxdfAxSzmVjlJbXkf6yeFJldlcL
z3zKnWWmAPKe4TPhLb42faFv7Q4WVw6A4wDotjj0hHyPRTepGs5JPj6zN5DmnrRHeTQAAyFv+zFL
THfOrguANfJoaY0jyevGlgOgN+Cb/v9i1n8JvPW7HoUS+R9voJ7a9l2/p4vA+idt9Y8/+7uWJb6Z
tvRxGNPTghi6iPO/i6veN8cDg4Vv48/MLUt8s9k+gT228ZIHlF7+Q8mS/jd+YakS+2orWEhdf0PJ
Irf2FyVLUNolKExFnUAgQ3H7s7iqwqnSuATkPkqcHBQH1oQZEGAJ/zL0nPdmCuWdmDhM11Vqrskk
oX2Y6eRycLZ5KA6ON5wDitJxlXJCDhPwB6p66uZiU/SArjzaAjfKZZvkcQT+UHHXHs0ktlj0tBGd
vwFVvzA6fGc+GpRJp2ufKMw9M7a1K9p6vpXsdsAVkRFMYGmUK/ZUapW43QhreTiQ5tE/I0SWdctp
ltV7HgN2DoR/Y7ZdfI7YL2wnmXCc9bp6l0tMVHabx9umTfyrhFj7OlCzXtciMfYqsYLPhFAmYWyG
dxwqob0vp8588JhybtPKrfd8Mt4mt0YKSex2mE+GoCSRWazZydkrJNXcURmvCLG8Z7QMUlEZZck+
92tO4VE/pcOazB6+QKfz74YsgUlRVyS2fbv6MClrurFTvLqz+9YG5vVcxvTR29mBRRhlXcSOnelO
GTC1HLu74AO45qShN6PtASzR7FPcCBKUz0S/Kw03yxAF8ooKhHFoNyoN3ceWOCLmv6wPzQ0rb+qS
kit4Q3Qk+7m9CZkg0F9Kv9upfGLJ1gba7FdFJ8t3znTT9aR1+BYQ9CfM7FeXuRE8xGeoMo8ZFIWT
TqbmMLqGeY19BNez2VqwgPyWGlm5SH1uPnqHvqm9A5J7/9SzwiJhGTkpuIu5pwnKEGf2AMaxlLXx
o7Fa+mdShz5trrRm1RWD9zJkrrwqQDDgPFZgHF1+IgSU8/gzZjGwNbkqD4hPcJBLRxV7s3SKtx53
4K1Htc4qw1X7oavye+tP3nc6cLw9R+P0PufsdmGUcJ+JumTkrJV5BvbqnZOsiza1cNWGFNWZiojo
3JtjsdO1ZRwCk1ZYTL/yjhc0IwBAiLLigMsV7aTNQn/sbhCz0utstFFKs1SOa+Hl4jzB+4X5QOv9
c+tx4l43AZDFso6nB5AH4zEfGnHhENfZEFKq/t1y/OHE5s4GpdYk8MPn9m3Iw+EMV6I54LayHhvT
NxQLuHIAn5not4yjpV6nydzUa2ranPomMFOcK+FA+/OGukbqedPUAO80kCkIBxpMaSYdQdoafBnQ
ecOld9382S6Jyq8ag4+iTkesh03ENgoimFWSgSc8ZmGiPnkJrkEjNv1bHheQPtNYxjeJYnDxYY5c
hnZuzz2BiAtveqQ56TnTA2kfcbLTtmGkqUX5g/RGdGu2k0L9FInc9bputvHomcDUhWdcYQUF/jaI
oRR80SK5lRhZr8N+Ti+NHkhChGOxbTORsdWxx4PnDcTHW2Oo7vxqCG99DyizytFT+qpl2G4wPO9w
7XAixJQan2USyp1XTu5ZqGa8gvyh9vjj2nNhVsO1QmV9cyomY85rnETWcnqqyMWD9eDw/yh0TpZK
zlSjDzWy61TrB6dAiIpt1OWYgsM95HfurWnI05swyoY7SDvjHWvZAYx8qdt1BfWAyZ4wgtcejNrU
GPN7BdY7NKkdI+LWekZ9EW6QX2LHc55rYo3PZFbKn4PFIL7CQEM1yuwbD97Uydu+kc6zCGvDWQu6
ma7IGlCd1HrJFTEZLunCsn4RHaMmWwzVs1OaYmOQTX2OFUHO1Eq7dgWqYt5aYqK2EksY/rBU7cxG
Det+jpp1bWsGZAOs8YPt5eFOKb+FReYP07FMC+sc5fG8n3LX2QMl9DE26HkTiUQcE/hQr0zwNII2
sruvAx1e+M/wCAvXe40Hke/zSKsdyNX6RroYhyDoFx8oP/3OFjJ/A4pFYsHP80vn9vGeXQqz2Mzi
IE3cdpv32kJoMDx55KRG01dN0+HayVJFfXfWnZBgalxivj7as4CggIlpjcH+h9SjjwLfnCqlecbz
VsvD8q2y5nqEqevdRzX59XycjmRuo8c6yfqfFNMOG1db477VQwHlv5O12LrTzKRoQpxTcCdgiRuT
5UbrVlvVufKMdj3bGKt1Bzgr86lXQVcuDg7lZ5itnZVtvepJnxwk+WtR9oc88jE8xNE1spQ+8Kje
iiVumSdYGoEYo4BojBvk6otqq3Ubg5KghjU7pVbbmMhg1Aoo6orJKqqOmss2yY7Uhyz/FhEVWz2S
tFFav7FO48nclR402sEakepNzGu6mSfmBDlvZT04uyLI+3vLIE+4BfYaHPBFY3rzfQhd0xisBqzS
MwJFRu/5BSGm+qg6K8UCAJWKZVB+Git+PMCuHUSt3OKKrexrqn6szYRKiLZYTFdikPvWmucDuaIZ
Z4HMXplOPzm189eG72r0msOQ42fxC+PQlpQr2tG6dkqgIcIu16NtWPc0PHYnOynNB5vqAn+ljWS8
VVTSA6X0HcKSjjLtDZsFQUoE0ihQQ+PXGGr3JIifPHN/1GfPr7oDseAFPdGVn3mb9wdfVt6pldXM
np0SSdCgl2XbvNQ2zNuoz8MHPoCcn6n0qZJJwdf7EpqY3dTqRkQAl/mNFrr7KPaVOZcX6B/muYnj
/HUg07LtVVTRt2n0fbUbKBg+SLdFsgtw+v7KDcuCPWMQCUpTG7SxBXUojvwh3tKl4Np7wrPqWNgE
YyFjkZFVo90fClCpJiJy4WaEiorynvNFXFxnEV1kGyMnpEIo01qro9lQI7SRdZ0Mt8E46hMNQRm2
Tiv+mfPEmVaEZYZ1NlJp3lhu/GQxh24Tjrt41oV4bLyeegWJh5D/xmOe0465sxJJSKCMqVwCErCu
fRkfzDymtNNj5YIad7ug3wpww3zB5qjLsdx0ePBXvjkyFHO0YIBPozWmxvFziMfx11DJT+Y//QZC
592tehPFzI7K28CIXDCxXXuYvTheF6U1nD1LU5JQmf3VbEsNZAmZ0GsUMNOM11NjdtbJqv1HOQ+w
0iVIHAkWbhPqotmoBuxDVjXRxsmcYqeaLr5KimK4bUVo7ENAGVQT5e2e+KqLLRfWuIs4/MkqBzux
xpVVqNniY+jyx9gpSbxafnQxczXum7lvd0YCPB12tfsQecsuoeDVuU7knGwcu81o/OiD6ESrer9r
PEQGTaXFh2DJvMVhFV7yGH3GHEpvrXlErcomcW46aINrIwtJRdTE28PMAng9+EWAPBKPznbOLFKD
MBrLtYwHb6tCU+2S1qPmu0sHzD9BaV95vu7JwY32IR8JrodtoLa6MklpGTI8OJOd7tNpECClopJs
fGMBIemHY5yF5cUbMoSPzmWTid/KiF+dWLeHekirexP44GaUKAN2XHgr35vtZ150TNyu9pkOYldu
bZhZJ/BH/sELW7juUVX88ovUv3YbJ3vq6YskplCY25os6GFObedIgsLe0SFlQj6toOmkYcCrZiLj
wGnAAqNfjOfGbO9QQ3acUynH8Agck8B6MSj8w2qnbvrJ+A70Xq2sqKTDo8Cw5Poa+k/J0FK53tIS
bY6nCj/vVoe0iaxGGxZAt2xbGOLBdHJhoKjlbTbcmykbBdOenc0UtSH/AtYxRKnC0z9Nlv+Owwzi
0X8yp/3F4WWQ1UkGEzogez52ZJaTbgwyziyJ/XgnHapSCboYT2AoxkdfiOB18vvqVqo5uvInWX8P
4yFhV8kBn/yOjPaqm6rH0QrmnelAAYPNyZ6IFvYLRFmpuGljmXKgXWJNgc1RAoxF/GoTYzQ41BTA
9mRb7FkKLAzWFDBZbPyI3DLaWAYULCOB7ELO57mrG6JCbeUARQ4E/LTOu4IMCUC+ptuSDgluWprr
b+yMElXSPdrZ5LU/H7XyvDdO6tHekT3knWR4L3vn0rXdg80JZTWlRFTpoZg2zqymu74rIKCl8xlM
BwAOipAV+1uYZkylCmN1BpePx3aknU/Z1khQBqlzXu45h8Jtb4jyZZZ5JjdV7MPe0crtzyHMyaNi
c2+xCpDuHZWy/W1Den1BpIiQloFU/nRwsn1W4dxvKtvwtgQf5X05p5jicJtD0nWpnSun3r2y2844
OJIoWJPMZQ1vhRob0rfm+LNvxtdGzTVLTCfe2TrPds5YZzta0tn4szRYWWDpaO5zICbVNL95QGxZ
U3Vl32zpzItv57TgDY32ewqZXy8xWT44Y2Mf33OjB8cxGIejLG1KC1hUYBufml+VajkK5sMwPqp8
oO2647wA57AuOm/tAzo6y+Wc3X8dubOv47dcTuK8hTmUw44GFtjWcmcyy4PJHZS6tZaTPK0APJv8
5Xwvvk76ZFlRX5fz/2D47TlYZoJ0mQ6yZU7osl4SUYrgcjYJnNqqDBqQZgwY+mvWcDmZ8TBaRhDr
axrplsEELW245F/TCtiJEWlR8bJ2B7n21dLwanW1sY0Ursvga+Txv8Yf4emiOrS1N0Ldd8Vp1A6U
GrtK+MBTLlwQtWCMHeG9s2GQqwACKpTAvr3YmBj3k0/tEw8x5q25nh8qbbubzKjuDRnHh8rgB2YR
PbmHY21DsOOkbEwNTp+So/DJAyFz1SuGNFuHrUust4Py6nMMoxehhRYameJF1o6z7nDaXQIfBkPN
ZzDBH2ZkhAQ6rsnKMEfiAEivVdqiFDBkwtij1vlr8nS/ptBgGUgritr29TKkdsu42gmXtkIm2GoZ
ZeNlqM2X8ZZvchl0GXn1MvzCuuoXpxHbu2U0dozI/17Y9feRJc2HuwzQ3TJKU95bvBXLeO1/TdpA
fqaDWsbvYBnEp6+ZPFvG83wZ1ClMlFfwlryXcRnj26+JnraFkIwHYz5wOeOY8JDOw5Zfpd0ox6+/
KAPpIhJ0i1zgLMKBbLtg86+fqF9Ahn92FQpbgrMHr4/8Rirf/2v5cYDpB3iesZ9a3z4VqLetDH0o
wkawlQtfDOeXczHtxXAgAooZnLhz9r30xPfGV9DDdelFn1PfDSeArtCMfNFcfNS8Vw4G5bPlV+cu
LiiUNcGncXgCOQO6EAyMUaV8pom1dDYBfSRK3TAKtAlraDcyvFPjUzG5bSe+KyuQPSercC7eAYtm
oAhbV0GBXh5k6dczjZw9z7f561lnfz331PIIDJaH4b/+gX319vzpB/alFHKYlovMRZzsz0phAEFv
smnS2uMPephfrdf63Xit74eb5o6seXFrZDf/+ivay0fwl68oTCJjS4CNR6X3l684ILAgjsfhHotN
+JFRMdLC/k2mm3SMZ0nBOARtPdW0EAqy1x/CmSH44nP+NQtntFbTFIe7Ihlw3wF6bcftHFq8wyVI
N3MP89Z4odDLfXTpbE/pb4PMvE5tz0+JaE36MNZlfaa9Kj25xTweOcnwfEJOWbmef9+Ns7+n0jNC
bMiTHbyWejc1A22opTO/YQILj80QZse+dvx9O2XGUx4P+owVKr1jyxVdyayD/oZmXz2owJ2pR4wT
oAvDCFNyjPUzwIXl+ZXL7L/Zn/o/0QftiqXPwvqXRujHn7QhRu/F+1+0+n/7k//Q6i0p3SU6yN/3
lXz8Q6uXFqZPDJ+/2U7/cEKLgIQJVwlOaBRJ3/Q5m/2b79T5tvimoe3RvWYRGPlbTmj+xr/cEa7j
WMKVmKspYCQ38peHVpz6MASTIdpxxr13iYwc8nYERUF8ahcY+fCTeFlBWj8IDvj4ANmNWbMjWkYC
bc6tXVDiWtz24C7YjorBuWsIIpJqD4tjq5nJVJaO9GhF7jWTiwe6LCDPzy76UxNC3s3UfzJLjVX7
QfEVDQHJYtFd6TF2X11HqOe2KprrGsibpsib+xapw/SvPO6VI44AHABj5ATZIUnMJTKGCbTrbGiZ
TjH8oABWbyfcqn469K8uDo61U1aSoL5w43nVT5590C5HXfB1VbrOtY3aTRQaFwPq3rqoWVuQDx8D
zdnONwrQJRFendFGGkhsUVHhZQSMNKEfF/sRs/kTHhN2/qY/k1nw4vZYBUn4uPRCIULSDTdRJeZC
S8NNiZHIGFE6MADGt6BI+meij3G6TXVsXoGGZPYYphsxif4Qi2b4UZqYWgwra8A4Zk1zyxmFqRuZ
qF9PmXCeQ3Owzq1lGY8q9cxXikJSEA2W19N10WNOCBd5xoqiT3+CYb2O3HH5xjFDEV3DdQMm0il9
fSjR5s9mFoPi4GMuPtyuco7EUKhh6mNT8k36AWoUy9p9So7oVuZAACGJTNMmLInOrHwDPHzkuAhp
rl9iFhUoYxRXbvpmAP/RmIzGknVyNCgeeLGBzBP1dGpC8D3nkN3x0WGmeI9UnZyGyRuuuaC6JGSa
qgyMI1DKogxlU+lg049NiWtN9Jtg1u6BuGv8XDFQbeYRXAJnnezeMDzSfj4oE8YCqnjzkqx8O1i3
GPPMbeYn0YHpyyRoiuQjjYZ9zpyab/U8zydlR+GlZKC+nhIuVF0O3kebFuPOtCiGT0sMsnkB+Lse
sF3DIGRNpS5pOgIOC3T1hPEq3EWdb7/HopuuOEDDf7N0uXMZ8yxPNy94Br7nWA5WwoNky8f03GAK
iNiPtIW9hV8XP+TjcNCARipsWZ2ijrjaRd48rNIiI+E5LsJQh7JEUxj1HaaU7JBQGuJH7gPvuhG5
e4/W6xacB0bqGJQRvjae6T/abVKmMNiE5e/5TTGxyNEC6xnrbHqQGHEOlHs5NyY/Pkyb7LJRuoKY
yd7CEJyXrv1MLbd9AxbdOggMSR6uGnDyoTfEv2BpVzs9YGlAxQubD7qco+Wm9INHr6CJJKHlhI/f
xaRKX4k7XQA8qztoMu5mGcHpFJsROCpKveQGgnN8P/o+jVnDBMWFrWb/vYqT6iaO7eE0mYVzQ5Fz
rFeD1c/8TVlNg0Mn7gPJKc+fa3AsYeX0j34wyqcu94aDS/7yI8jiHMAq8hyqWGJ/cH3HvxjQLAvu
kECWKiap3gVlINm6Jl2M14bZ8TaxMWZPZi4diMu5BaS9TOr9ENU02OROqPZVlxa3NNxZj30ObzLU
jnxI88Y6E8hDzOCH4l7YVgpyxi7aJUuByN53ZhfdzkMi7nodAe0c4vbc0lr6I+ES5lMNLfnclE17
ztLG2oZirg8+qtmVSDL/pihySkTpnC4Wg3VoXrlhJQ5BTQ2cI/oEsmCaEqRyHDEhXCKuGcw5zdZz
M7hJnA5vvLTN74Btmve2HCVMYHAP6lTNg0eXSm5a666a9I9hLlng5maz9kyGm7V26iXdd0rqiXI3
PynrdoV7SkPPLlOQfQO7ljT21clCuD4MQXFjJho9X+Bm3lTWSIAraMVh9EV+5yYMiQ437rZB0Ntr
/mcFQbt4aHoL0yFVIQChg9s+QbWGF457yQriazw/oFMkrJVat/1V5Oby4OG7/0jnOr3ue2ekTy5s
9yp3vCvY+XyGeNHPYQB6NmNYWvMsKq6KaUrmdQmkZevl+YdosnJLebg+WHbhvjBv71y/e0ncjI7W
tFBHgXVD1RK5k8j6p11iN24opXEbY1rTx0ExXGnQkUJTdWxQjOJ0DuQfEd9Kw/Y2Tugad8IovMNE
kuIIwOq0qAdE29zRZNVkTK8LKB/gPQn+OxnalJlEkYEQ/3+oO6/muM02Tf8V1x7s0cCFHGprpmq6
gU5kk81m1gmqmZAzXqRfvxcoySPZsj/PR+3MrI4sk0KjEd7wPPd93binpzy9oREwrDKjI5A1JEqB
tKdtWqJRM+voKZa6Pt2prLOh9zkCOlcwk6plMQ2r1te7I4DHeD90UgkPoGwvalWlSGd8EkO5IXoH
gGVDNaMZGgFxZlAu7EI9B7o8EbAR2jIEn9phQ9xT23MLQpjOSAGyKd+WEyz0gSjRNVs//lMUerau
tHhXwxGMl8TlVqM7hTIVcsVuAWhHRV9uujo9ZWOa7czUFI8a1VFn6YcjwaRj21HwVBDhwFaqjlWb
1uup6m12lLrNOqEbxFkWBkm2UknbcptxovAvJO2VZIQu8pjijcTTyzZkMSMFKcgsEc0BSg3zQKQ2
BaRIihDNckpj8zkvGnHJIr6/jBJ08mWOO9SivQ58W4zLVFP3RWFf8rXMhKGKPGHAAhWFc6ftEeX6
/XDn++GLw+P+OBmmy7Jnb4Q0u5OmmlVMfnWkHhktiBPJNALPm4EvhddCxg5yRRD79CgBEfUCKx12
sVY7M6QMkZbct+NSc2qsrXZiPDUUeD4FfPAiUNhu2A4yhyyTrBUNoPq2sJD4BGbqpY2FU7/OxKGM
/eAuMVCJZWgO39gCpXQE9HKlWpNBnm+KRnOTtoRJ9jkW+gU5RiUN+7yTqX/r+YE5oF+LNOkubMOe
dioLsrtospLd0EjDrlJt6nFVJW/LzGiZkCwDDm9eUCdRI3sb1lwrw2mnZ2oP8sYO2sbVjMlfNRkW
dzdTSHYIDThWye1oEgDcGmRzGD1EM/Kx1cZwLbn3odbmFbpweHSir181HVuuUfAoJoPpqbJZ0OHN
4Xr1maubkmuq45VEuXxXkImyTcrRANHgFyeD8WzZkHcF/i4jmtDO5VVJfgkzjIrFr0ZVDmt9BqlW
/SorG3+PcypeRKhTViUNMLfz32Oc1IugE2eQ4t8UpQmjBbgCeUAxYRovIqVchmQgWaDN7C4c7D2r
HI/uWTsF4Rpq3UImv15bOHgEb1q/bm9HneBI8uO6Va8MF3KA/wBQFFkroRm7BL/mCzADcIt8hOwU
khwIPsYA/00bHvlH3XkEfPOJwE+CClB1r/QwyM/lMtHmWo+NWsAUebLErAuoMkx0z6CAvskjPSRm
2bKuyo653BelTGIHMHjiO4nU9if/CjmPfZ7JeXJOTSlB8F4mxoE3lEJbSQfznH1IdkVQmvE6yQM+
qdbPLwFzKheGUM2dqFPj1QHtvDdJa15EfRhda3VV0Rw2deh4VR6RYpu1e4bNdFtNSe9ShnmmHuNs
rDxO3UCPxUWrK/ajrretl9MgySkqxiB0Ry1GckLQNyv/SIu2RRY0WJ+NcmT0aEk7myhIkTgpNk5t
mSCkrPHo43aY8CyJXRFZPmnuDtSMIRnvejr9l0MWPhSm5R9k3PCPvWxXG80qI5cYFJAcrMHHIK6g
55oKQPMBxUmokDZmxcx0pR9A0NBoO9KJcIVjoqfJEuMeYxYycphVl5VgwGP9WDwQ72vMqNhkR2uU
B7hu9HNbaUuLUosQVG+iILwK1BSThzAFJqlpePbHdA7TZN7zbZVPHpu5b8M8PlhWcEY79dZsO3Bh
ks8qMzMhebEgokm0nYIEXFlbbpWMqPoOhx8zKu0+jSWvKxsCepUsuTJ6S5dtFtXUsn+OgKeCOi2z
XVz30PbjrttC9VGoLYrUIx5Fdocs8Tc95D1HRjJVVmm8tdIX+ov43+wSY0HBoVjCypRr0/p5lMLx
LAXR1hCFA1NM7ZF8+VkP4Lpg15dPPZdP7/VLCb7KegqT+tALSOGkZZdPMg/MhUgUgp1V9OyRGgNT
UxqWE+AWN601trCuQOUOAboW3ydBrJHj9JQozsRXKYHAkZ/8zGZMxTlVK27sS/oCSG91i7C4PyKz
BOaHUEF5zK1C+pRZjlhVkVySQYVPi3C4tHTw3mVselpbOdTY+5d+h2fFTgrCnR0nWdkABaiD9YU5
sZPromXZcL8My0kexnzoebJ6c11IeU8gjNhrOD7MiikFBjoaM4wcXWS/ActddK1zPuTwg31ib4cu
J7meWiDLU3mXmODAcf28Vv2w6QPnxp49O6bSRYeIKXGREIO7aWwrWI16XW0pa7fbhG8JfbvoTgA6
qZoSWn1HP8Y5L+iEP0usmfBMCgIaO8rT1L0C3aP1bu21KS3PsY1mj5CGBWsjw9gWMktaoUlIhEnW
lTzSvSMUI5Mx1GhbpeG8ynOG+CrKnDXSNwKve4RGLPULe+XXsY3uZjT1hd8YSIhT3/rkmBJUPOJT
kruSJZJXOqNzgc4tfQD8HK3Hd66/qg0nMw8z5o4kVw6pGGXGsny6orfc7cj4G66kpumbBXEj3RJx
gQqn0Jq2E5WKo5ORmR6MfrRGBl0+lMxvDPHEIlijnnlm0kMza1VZLCoqc55oFRmxc1VctUZrSnPL
o36Vp6C7kXIghIum05u9SafV6wXovUUyqvZj2miziEN9i5Lc2elh6KNRGCPtQMFdpgmsRXcMHBQS
5UaEbikZYj9YRC3VIPsQbIzZg6CB9AysIT3kvO6LsE2LC78mAIsANowq0yyNKMIciI+eqc0hQdl4
yeI6LueO4ripY5WhpmISPQZFVTuLKDTSbWlm9jpRpvo6LlnDYp1Ksg0BObrrsIs5V+kGLKs0b25N
mQ5joVnWcmyS4E6P7Wjt1z6camfq4m2fm1BYG8SHGcuzHXaz/oGcke7GYRV6NfObIXzE2l2GVXXn
dEr8FFiCucjvpwtjQrJE/pYcECIZK/u86apFqMCrMOLU2MplhzmS9oaKXSU2jVOnSyE2p0STT+gi
k4riwTTc60lnUWuJnYbCQ6uTsxg4hTiT6Nt7WmGz2618aVph5cLSgITqMRz88q6zSJmaSp2NgU2x
f7TV4hJrj31rWom1s2vcWYroDBexeXaBAJMlVtw2dOOsOOoeUEaZriHH4aWPhXpdo1ogkbJPzMeJ
1jyLBlnG82SnZxLk17Msii2YeUKvPKvy40MMQ4Rba59QgzGCIfacKFqtAKVzkBgMo1ohrce8bQIP
Hxd0xhPQp3PtQcm4S0rrKC7xHtmtlsrwKZJGdB6SB/MJq2KIAClmueQkJhl2CLUyvJRKCQwpAufJ
t2Z5K5nDdeTH6T7SabUZ6pAvjUGHu/FeL/8vwwX9DyztAgHCvozORcUnQFEEXtY3PYQ/8AXOTy8I
sr+t8P7wAF9qvYB8EFJDQDMd9meGQ3vhiy5b/ZUyqzw3hQjmIHrgN8SAZv0qW+y1ZA2dpAPkgh99
KfVq6q+cnU3FExoG5ho6+P8JYTbr8+9KvfjPQfmBlHkXAnxDitbTtsAM24abtLeyuX1H9hYN18BZ
2iVjykIDMHBmSbnN0F83Oxld767AgINFxmzxNJazECu3iVF0KQsiapLQojaOPd5hp3MQeOIBpOqT
ZEnK6q9yjlkZN1dWIuvD0oozOn2ahfi4Qp0bSPWy7BTfazQZCGUTV2rw1NlsTPHMFfoeoaG2wyXe
nzp/zJ9YxRrEtetxSfUurwGOGdEM+e8aU970o2l+qscEDYlWOMO4HuWWl1alnFptm0LiLa7GUI9d
USroiaHAR1cDO5ZgCayoujEsAF3CJifKTETn48upzUd1TLLDMCijxMysMtvUMRHvK5XI4BkPFsqP
VcxKkbQZjCdLJ2mt45BHXcFwp3XPscEeyYkzfaeIIDgakpF7s+zhGjWFuJepCB0yKcyOVgY4R2p1
ZwMraVrPImBqJyxKzzvISCjYDFrOFGkpFNHjXnWCnd0CP2f47PSkd2yktAkdL1XNjuZf0k9npWRq
bz0biGsZD9Zr1GdZN8P+qsdJTfRLNrRQn8ImZkuTEcp1a+lzcJgQWXsIS0e+ILkejrUzQHJaCLJq
10mKdBgaUtffWoop3VVORKOfGVK+RWsKlNgxqzHxIprEB9sM1adY6StMdHa1VFTCd+GvBljwc3Oe
eZiTLS8rfQeBfNKexzmiyEWlgXWzEA82Wz1Dt4mfKW8/ZQiea8RLonkNMn+4MbqiZ2Zjx6EskITa
S8sX9h4MMSRpOMRp6raODtq4ihvnEuMWaW7YETEUGE6nwxuW0oJq0USG0iIbq0L3YmK3tBXJktZr
HuNncpGWG/6yjPNy8sxKhSgrORm5ia0BaQBtQfggqxjc8KMOWKCNwehYPmdjM7v/s57iqyXQnvj1
IJYRDWuuX4f6a0nCRY5iFwPX0VBAqnL1zeCBaqD/xsaG8NE6Vf1XVPTtxo4roTxDRpRpl6Aj6EiC
89k88lltsbJqyu2HLlWVc+HANMd8m7LT7vvmWZjh4Ek1EU2uHGX8vVEb6VyRoiLxOgHPSy+mKT60
YWeKhT74CO37MbsluUt/IRgkesRX5CNpxJZRop6CAgAZ3FjFspToAAHyfluGVog4KTYt7L4SaFoX
HW1qL+UiaRVWxYFYjQ7bikU4jfar09UmpL/GwfRupQYmjKG1rkiXaLad2TXYsjIxXEup0zw5tdHc
x3EoX+jDNK3YorSFi6zNpBZRO92VJOnNfV8bxqI2esThE93QLsVy4g12POPOO7/zWOuwBQRbAXuA
8g3XIiswnjN5lvdj1iRnuZIYoWfGZqMtYgTWW5x2EAdIGZ4WBk8l/mvkb7jkjM5gB2SZ1PKK7tmh
LVWhEBI4BdtxavcpNusjZuiQ2ptflL6XGuOwBuBurImjlLfQ7yEjqNzGx9pJphfiAQHBq6087uWs
lfbCCoO9g5QUeWihW8c+K6PrrpPwb7FfUrZyb04bHfD5MbJ7NEGog5CX9rkEa1vkD0URWl43Adho
fJ90dLL5IjAOwbSKE9RyVFzKyMNfi2960u34ExqM4jJOa8NrqmBOAhmGLfTu6WVe0trLMYSnsU4S
VoQLkzZYiYG8DOEm90H5COw0IUMvUMFV0yEg1nOwavIK5faWu0OnQh4D5RKGRLPsUpjSO8kYWJn3
mJ+ddUEtGHizBOBFRp5Q8qzGxRMiLPOm1dnm4pQUjkr3p4o/KYVePhhVT5myquqZUiL01ljpCP8I
RElinMCthUxprZZyedfESpwcVRvWALdEY9AJZKTXmoSw5iyMR7TTHZefzKaolQZETiNRAmraa/q2
lscGIkBV1vtgioBAUvgaE5fEb+eirqz0aQiD8C2U6sItG5nuiVo3bH9SjekGQre9jlnw4d4PCsvz
R4VWS5BbEWVTKveuVFTDTu+qAe3f6Kc70XcgBYwuzUhnLFrSA2OVXSRc9sDtbH849KRUT64ENH/d
Ecm9VVpfgLUWqb4cqI8Nq0rT4nOtplaOrKDVNjJ8jHU3XNYIBIJFWDS4Quqmm87HmFgYkWX5HLis
y8myMrP4yaqSHMu7dtYPbPAXWE74Vyi1qquSmve9lmL+QH9CaT8YW4Ng1URGDVegA3SD1ip2vDZG
cZ9hOoCx0TYby0RtgEiNepSSPqIxh89izlC9pJrz4HIn3YVaj+4ITT7F9ajxDRl6BP28udq/rpWj
Zg9XqlLg3pDxOqbMBkzUmO9TCq5nwVTMojnfXup50x7ZOHdvOpPPGqg0qlrHPFl1b7oTqIrN1GvB
Rm2b5lYbDG1DedTi1U0JcmDHrr9WkeN3eEg75yAUzF5J2othTpssdwTksRUcI4F+nA4KIedAiVz0
EcP5pFW4MoJCdp3Ox1xjMJB7MRm95UIZ2HstdbRr8LNNhSDREGHfuolHJ15MUZVsp6gpjqBuUzLF
acDadhufkUuqn4lQ2BWABNE8ODxnWOdz+9mktJijCtGrSz1L7SNCSIu0gTYHYl76dNkGSX1xeGAI
1lHyqyqmLlGR+ax7WRLoG9loy1s5B3TXC25/4VTgemj3ZoteTSb8GGYg00yMrYscbsoz+RQwEKkr
F0uzbssZZAhctq2gHgBKeCafuDyYrTnsc4xWsFqTOLhojMZiw2URymWAollIaam1rLlU61M2afG4
LOZYM1OPaAgbfRa8+mEVglGUtHMEaBTZU8JDCZSgLcEECujpsdNHC1haZV9LukaNuZL94NGSE7SM
QdQNnySTRKUEWm3E3iyG3wipYx3apXUJjEDboTNM3jjf+kBcI527SVDAncqRiGkkLQicu9pubxyM
MNUibogOdiGPEMdkQkm8soPaXoEh6u8m1Forq8qzk6OaLDXKJpmDZxsfvwxl2ZzgwEoL1tyq/lwJ
gpbRIfLrq6jWiEAoSjOJ0ZCnjFTwjdrUK7HnRtiUJFGsRYuLbVvWc3w8fUYzXaVKqFw0Zanfq1bf
BQu1QdG2InthbnTXNqCSCLf8WUQrN1sW+tC0bkcLmVAH0L903Ng50g8Z+/qxb6M6dmt6K8UymlJ/
T0NBK1wKF+GWJ8Shd6VGLd1yi0kNMadCmcvi+je2oO4KRkFsVNg+d7oeVkfKd0Qe1+yHjvGo0z9X
OtACqmydRY1hXxIWL79G1A2I1zWaXPWYd+euoirYfSdspq/xu0TAQEaWBIu+bsIcbv5E4VSR2MIc
bIMw5lUPKn9jpWpBaz7RaSyQBm0TvMhU0e3VqCl9anBZECwHp7DWptLaxzRVy8qdnN6eFoWT6m9x
hqzCzUlCv3UMaQQwIskvtp0KsSl6CjvQIbHCs1ilTEwDvBpKyFkxbKmmDXFDpsGbimXy2E6IL0en
VBB4RA3oB92OvMkq6ithI8yv0W6eK3ljm6uRVVvs6gOpCA4hZIxTIrEXptn4J6ev1KOcs8TwWPU6
0rLOHCP1htLEVoDzSnpLRTaxRiOHCpHjnGvfVcVK8vPBqy2N10RnXgaqMQjFq2K5OGnk3KkHtvep
53cYUfjbcCjkFMJEXha9upDLmqgCnip1Cb4tPPjoKLdaYgeXCSKQGvcilgJ2QGo14dyYkzAsDhnc
xpHOOSn0he7K3rIbt4Ia/VYgij2CQ6NHkeI8d1O/IuEnliZoyQM3uR4orkKiJq0b4xdYKlaAizEg
JSLIKcWLiSAKYOOJsTDkoDyFqVSfJcNENvFAFDguP5gko27545rsCmvYox+Sbjqp4ygEwRvbgC4W
WzL2nLMVR/i7gmf6eUwdFs2TrgRHZu4S4JgaOWe2X+T4tmSY2cNQaGsZYtGyqwjuAB42eEGtVp6p
hqTx5jHVPz2GGEauh/CcAsmPGBux56T1HXgx+YF1wJw95wCfIjRD4qVJSXDu6XYQ0VKBuCb8zR3i
RBwLXaCLy0jaahZ+hSISBkN0BcIq9RSCDIl4sR3jbO77e6zgfE81/SfWqc5a5p30CtHSBHKc4BM5
c+3TKGOYWkjwo91gVBNad4V1RVgkekx2B4haCildT1KWLRH3DzfEDh1APCiP8OfCK5wOvJfqgN/U
N41hZ6Pd2ehlGpyZZplw3c2IbJGUQCDkRca6SGT1vqon8D0kE5rzCh1BFt1W1OjWZ8ZJELOaJWL+
yWCI2UQsS72EF6fZIx0SPESkiYi6g2iuSlHcugE14W0Byyda0IcvboqAFS9LOPNgmoN+rU8FZVXa
3YeigTzTA5EAnBCb3U0llQRGMPKqWzOwbQ9JS3jDq0eqn6nCEqTAXDI8Bii7qXQB0kpzObuADYZG
wA/NQ6erZr2o0HoAozHlZG9IGln24C4uInXCUewjTL6s0ypAni9nZOfIwtr6WTA2Lp3m9hpGSHQL
wrw7oKA0nnl3lYOCTOi1goG2qhFiZQtTHaG3Sb2u3KukcO9TJYm3gLDivSUjkVnIHbWMrGW8Ap5F
j1DYWbxNc0q6Is+ytW9X2SJxpGGrlmaJM0YfzqSUL5tYHGThSzl0vDagdGxgmrmvmepCPg3dPdHS
s4+kTa99NbVv2lAQIDUKjC8LEp7NVZXEqLc1daDjjEpjOa9cjCU5NfmNQib4ytS7+FDo6pvFZpBZ
mSzdxh0g6pyjnrUANeu11yUJYYR4g/s7oiPhxgdTRVFedEX7QujwuPwXNudp6edautFG0Oj01ofB
lc2YmDza+MYlxdZcYHWP0Xn8P6ki/n+UuQH4m/WHraiqPvO6yRIFgvDnXIcfx2/88u/5yy/u6U+g
4z/8iM9lxjmbQ7UIL52zfmWL0/itzCjDHyebDgaEpX2h7n7DHwf9APNsrnrqFEB/qzOqMjgJ3eR4
fJ35kP+pZDpF+72k9J1drfJQK+CH6H/Ndchv6o1sl5D1gVXBCX4rxmLv3CirYIWCn1VeRH9/Jmuv
5Oao3ZId5IjlRHpNFcH2v/eH1o2o29mdDhIi+8SK3k3CTZhh2JdW2MrWHYsKv8m2of00DlRvStLp
RHQv+k8shTyJGh7hXtezUq1Xx0sNjJUm7YjqqeFrbmAWdPTzX0L8tblxPuLIzPt9UYulb75RrFom
Nc1vicajCUkUtyupexcMj+4IvTMNx3U2LwVNSj2DTpyUtOb1qVfkrAXzyvhiCD+xKGOF3z/JTn7b
tPJVVk1YJJgFF4Y2ll5jxWx0ntv00iRClVJR0rJxglXA6EmYPcaJRW+pB3h910EKRlKraSmoG0nP
dgnIJfhN59qgxEuWl5eNqNkfBAhjAbTPMa641RdDGTMpagU+IiByeaU/yvQmuE1eVwQesB3qIP1K
bxIaiOOyJmYrNmsXbdlei9oDWcgXFEeeE8s8DAXn2o/ECpeKejdE421BCwbFpxfo8BdRACqL0GT3
ATcsAGIZHYKsZIePnGFeal1U5EfEw/6b1+YHpjX2ad/VsD+/FOT3ypYCfd+inv79swUSpAFZiqFi
mLLbusWGqOvNYeiMDSOpR2AzGkDL3KHXWqflJVaPtaHoZzA8hTvKGCSyZtbz+c7WjNJNIsmrSPSr
OobmJnztoHXFahiMa0038CTFLKK06KzKz2Shr+syP1NGcPg2tmOkctF0ZSBvAwTk1QpNTW4h6Mg3
vTaORvJIj37lM4pHdbYK4mQVKOGSdSt+QZbDcXOOkNZVcakGtbQpJ/lQG/Wq0/TDKDvnJi2tAUCV
M+BeD9ubuEQXq5jrieaj8smkAhlPYleZ04VcUHeSioCelkUJwuGphAS0Kjtw7fneqrDq+mzVMvsp
a8dNmsqboG8C3iV464mYzqeh9WzbP42lsSqIAsw44AIHGpOMMuJgZg+jBhdxfqPW9b6G/tQo/U0+
fJpiYzgr1RElNMijx8rX8ACGUMZizQtLZY2sEmaUqZN94Wyo9L4gGwEymI2XwQhUhZWe4TqsB8+q
nq6AOX3668dEnW0c39o85tEZQqgmwwCU8eTM1sdvRqCpoOGMi57wqSJ5DSRx73P5/Fr5VLHPmroa
K1l9RANzMYnuMmhqCqPDrCpdKKi3Vji6QCU4sYu8bwsY7jJUicmN2mMDxhi6U3KIw+6tNPJ/8HTT
IvrdeZMmQQ1TZgBngiF49HdhQw2bNLojBKJUVm0tgD8D6uCEDczogj4xQhtKaiEVGcbFEqOyhJd8
USniRPDPQGGlCikHWhJV/LoCulNaFs9soHrsEzfo9ogkMpH8RN01A+taS4dDFIvrkp3WBFuFyIGX
wCC5S2chrNktHema/XFEV6c224LKq83Q2KlvMuWNRdC2EmYWdtDxBB81Lftj2HWH3hZnpUmDPDJz
Mk18Vi+m86myJmWBOerGVNJLsojxGhrlG2Cx0DO08qZvpTfC0tOlHZlvGM+uGzN+yKj91V2Dd1F5
K6kIhSiPnJwzCKotaprFBJIYEOddnylrSBHOwqqf+lDajsAPiqz3GgX/cL+Uu3DJ/uU+L9kjY3bV
/cFDu7bHWnwgbDlelLIKQMvZSArUxFAg+Kzb2wq/HpWahympboNouCTVfHK7edMitRsNDWwVyBuD
jFQj7DcyxIy8jZ99ubxOw3YnVMihVDHr2HBJrz8Eubwtyv7Q6/jiU/s6U1T2K5npYuTyHJBBEfDM
IJRX3PpzWSH2oOuZZaJ7ytAbaoNea8F2pJZcnLf+5DWjsQKYukwtpLLNQzxdzzkZCG7dUJw5ZbJF
+npPiAwWQzY59Cag3mJ7tpPJC+c9PW65tyRkE9GaB4E0EzziY0VM5QJ8Yr5R1VReThpcAKr+7X2c
WVcFynVWnRVoW5oxTtkBDYmfq1QH2YEows62vuTc61RNEQC/EOqwAkwOM4fQ9JzXkA1XcWirZKNO
NBeK8hqdzDEJ4jNdJckOS+uiQkSH6Vzh37cunf8V1k3XD5qcmekhVntC5YZNJgh1IqUO/GhL3zzM
H4LGOB9q7S5tbbol5oMxVTdDJlqPp3pb+dbbpGpnPrB/r8dejT0lOBsH5CiCjFm3DuzUM/TpHGPg
As7qJS7hem3V8klv2NcBFD8W2nhKKswRAEweqKmGC4QNlGLIJKr19rab7F1nAebQZMrvyTYBkgIt
i8RNZYCQEd8AQXwQqjiTh+EpGyYsvDk8mVTbSP3gDrJ8IMnWhclyh5hxYdcJTjTnaAppHySPaCYW
OKuXDiDRpouuiID1WKUj3ijfpgggMldsGJzrYZzFf9G6aLE4K9XRl566BJ3RJH8a6OAF6rBShPMc
IyJGPNhhzjCOvvOasWm0HE+XLmr7okTIp13m4ogs9VBLmSs0OLvasRuhn8f2bTY0y4RVRwGTITc1
NKN0JuPXJBqBarD/aR4s56anmAx5dKGliJxCV1EfRXBtBdjt7Xph61cStYugIUNKqDwuEk4f2HzR
3Dk6l31wJyOEUuaoyKRib60MtDtJNPO+TeaHS6V/RqyKRkp7aAHLmyPvdaI+2M4BjwSsvit5Bksy
Vt5XvposRWS4QfTUQ9HKxNsQF8usdJ4GTUtXZNA/kZe4iepgk0TKS0eq/JLGGlu7wnFHIBG0U3qX
hi+8qsLexlRYF9jiiTINsrtolAJvUEf9RapVOpJgHuii2Ku+mM7got+EQWW5U6zcOIn0WIzjfZFM
NxMWjslvidss6RlrhM1uKTGmHvXvHC0+m66uz58LMa3tydrQO5qbjfVStllOgTOkcko2ci2TAQ8O
OcO33gLTFjhrzN7HGIL9YDKtp6zrdoCfXu1R3EB5L5dVrOKLGgO3aFiaQAtPPN+aTahQ0uOO+jtN
sFKhLj7p50WpvSUyVRFlHbTmDkOMqxT1PiE5nuXTPqyMi3Fs12ApVFf3tWBV68i99R49P/3+yKVZ
KiG2dVovTaRx8S/hxE7XEizTSsM5JKiIaSGJm0jOHsAL4pcokJMHjX/UQmXHtYk83xlBJpbEuRSW
RTJATm6pLAE8w695/bO2ox+Qq3yR1Mz6Ee+dB3glXuvx+NqItP0t2nD+6aGI8vam+Od+6av848cH
+hKM8Y+isGaRyTfrqd+O9X7Gf3WM9NRGrXghdUPVkLPYimUYtvz+h+1vWuTBlx9b9q+4FjHYwrt7
/8M6h93xN9foz67CX3/Bz5fzr3/nuy/AW5O3820IiBP8VsTzvrH4bsP+fkZ/vAS/O8I3lwBxDt5M
E/v15z/sRL69BM57ppct69rnK/T5kv/XX4I/jUTD6U3d4O9cg98d4ptrYPyKSRVTlPHlS37/GNj8
WCacUnc+f9D/oC+vyNRuyLX66AWwfzVZxbPbMH/4Hli/AsLE4G18eQ+w8f63vAe/u4Ov7yPU9uVf
/5dG2YcH92NPgfkrYjoYCsrnayD/7imQf8WkPL8rX96U/67B4E8vwlxL+3xSJAUHr8U/NSKavxo2
cYCmwoZz/sMj/+1woP1q0wWQiZL9PFpQM/u7T8LfeG1+m2HA+Kcv73NL9Nr8aAr6s1/4Oqj+8edf
BtT5aZlHze9+cZ5qPn/250dq/vu/fXed3wf9b374dRJ4/5wv//zLF/zjR3/3WV+/1df/uYle61P9
TL7t+9P85TQ/p0JRWQ0JPD7Up5fXJvxu4DdMCp//cUJ/yIz87VX4y+M3zSn7epj5yszayq9//+H8
+7cOi277VH89zPvr+T5Gf/RsN6d6/D2mQDNmpsCHjxxlp+fwlP7wSpMayPj60Y/YnciK+uV/n7Ly
//xydoKqFn13hZh6HN7dj37K2anOWZwlp6+Hen/cTVX5CXf1jOc0/d2B9Vka/NGTPj8lTXh66V9f
y68Hez/tWUb89X/88w/j/vQSjj9+hz6vID96+pcvEaf/9UTf3yKqXj/hZh7Ei3gOX+t6/O7gpqYw
M330rA8ij09PX4/zftawpn7CWR9P8QmJwum7deqXqemjJ30dJUn03YBFadT4Cc/2zSmL0l8uTi/i
2ytC0rvJBPfRs37Hof9oaPmyavno8e9fm/aXxSsMl/Tryc73E/m+8hPOfn9iMGfAauvvnnFsjOpP
GHnXIubo7bfnbfEYqhrrjo9el3Xx3RnPxwVp9fHjMiv/1u28iJ6Lp1P9y7YBovPSfD34fP3JRlSU
eUH20e/x77XI/3x6QsoCqutnDJTRVNTfLwc4tGypzk+4zzc1KsHvn6AvB/8Jb++P+9JfL/x8L94/
i17y1//3z08nFydeM2711yN9OTq7MO0nXKb9KZ+v0w8O/hMu0/41YI1zGr97K7gy87n/hMWk+5qG
0R/PfN6cfvQN+FN1weezn/PQP/oR/zAO+H11/s8/N38n4PWDH/E3Yjc++Ak7poI/jfX4CY/QP0SR
ffD8/64L7oMf8+Px6J/Ryfzlifxov/lbdfKPu9CvVccf/bPvt9jzbzynr6f63/4vAAAA//8=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10</xdr:row>
      <xdr:rowOff>9524</xdr:rowOff>
    </xdr:from>
    <xdr:to>
      <xdr:col>4</xdr:col>
      <xdr:colOff>514349</xdr:colOff>
      <xdr:row>24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B5513B-6392-4AE9-84E2-C2E83F7C3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47626</xdr:colOff>
      <xdr:row>10</xdr:row>
      <xdr:rowOff>171449</xdr:rowOff>
    </xdr:from>
    <xdr:to>
      <xdr:col>9</xdr:col>
      <xdr:colOff>95251</xdr:colOff>
      <xdr:row>24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3D4B7A-0CD4-4A74-9155-3E42AAA6E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571500</xdr:colOff>
      <xdr:row>8</xdr:row>
      <xdr:rowOff>176211</xdr:rowOff>
    </xdr:from>
    <xdr:to>
      <xdr:col>14</xdr:col>
      <xdr:colOff>38100</xdr:colOff>
      <xdr:row>23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E9A108-2506-70EE-EA8A-F7617D8B0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381001</xdr:colOff>
      <xdr:row>22</xdr:row>
      <xdr:rowOff>161924</xdr:rowOff>
    </xdr:from>
    <xdr:to>
      <xdr:col>20</xdr:col>
      <xdr:colOff>523876</xdr:colOff>
      <xdr:row>39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920B63-FA0D-4575-740B-BC442E3BA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80962</xdr:rowOff>
    </xdr:from>
    <xdr:to>
      <xdr:col>6</xdr:col>
      <xdr:colOff>133350</xdr:colOff>
      <xdr:row>51</xdr:row>
      <xdr:rowOff>157162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02FAF7-CA43-BDAB-DE3C-C05DF9665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257175</xdr:colOff>
      <xdr:row>40</xdr:row>
      <xdr:rowOff>80962</xdr:rowOff>
    </xdr:from>
    <xdr:to>
      <xdr:col>12</xdr:col>
      <xdr:colOff>19050</xdr:colOff>
      <xdr:row>54</xdr:row>
      <xdr:rowOff>157162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05BA17-F454-29E3-F2EC-A646DC3A4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114300</xdr:colOff>
      <xdr:row>62</xdr:row>
      <xdr:rowOff>185736</xdr:rowOff>
    </xdr:from>
    <xdr:to>
      <xdr:col>7</xdr:col>
      <xdr:colOff>847725</xdr:colOff>
      <xdr:row>85</xdr:row>
      <xdr:rowOff>152399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B17D4CC-58A1-CDE8-B824-611A298569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1996736"/>
              <a:ext cx="6724650" cy="43481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riya" refreshedDate="46280.522507870373" createdVersion="8" refreshedVersion="8" minRefreshableVersion="3" recordCount="100" xr:uid="{57EA9C0D-9FE4-488F-B61A-E3749007FB9F}">
  <cacheSource type="worksheet">
    <worksheetSource name="SalesData"/>
  </cacheSource>
  <cacheFields count="21">
    <cacheField name="Order_ID" numFmtId="0">
      <sharedItems count="100">
        <s v="ORD0051"/>
        <s v="ORD0064"/>
        <s v="ORD0012"/>
        <s v="ORD0089"/>
        <s v="ORD0039"/>
        <s v="ORD0006"/>
        <s v="ORD0021"/>
        <s v="ORD0059"/>
        <s v="ORD0074"/>
        <s v="ORD0023"/>
        <s v="ORD0035"/>
        <s v="ORD0093"/>
        <s v="ORD0047"/>
        <s v="ORD0067"/>
        <s v="ORD0019"/>
        <s v="ORD0030"/>
        <s v="ORD0013"/>
        <s v="ORD0085"/>
        <s v="ORD0100"/>
        <s v="ORD0022"/>
        <s v="ORD0072"/>
        <s v="ORD0050"/>
        <s v="ORD0080"/>
        <s v="ORD0029"/>
        <s v="ORD0070"/>
        <s v="ORD0034"/>
        <s v="ORD0071"/>
        <s v="ORD0007"/>
        <s v="ORD0037"/>
        <s v="ORD0092"/>
        <s v="ORD0065"/>
        <s v="ORD0041"/>
        <s v="ORD0078"/>
        <s v="ORD0027"/>
        <s v="ORD0058"/>
        <s v="ORD0073"/>
        <s v="ORD0020"/>
        <s v="ORD0088"/>
        <s v="ORD0054"/>
        <s v="ORD0053"/>
        <s v="ORD0060"/>
        <s v="ORD0068"/>
        <s v="ORD0014"/>
        <s v="ORD0056"/>
        <s v="ORD0010"/>
        <s v="ORD0046"/>
        <s v="ORD0091"/>
        <s v="ORD0011"/>
        <s v="ORD0095"/>
        <s v="ORD0038"/>
        <s v="ORD0082"/>
        <s v="ORD0075"/>
        <s v="ORD0042"/>
        <s v="ORD0026"/>
        <s v="ORD0032"/>
        <s v="ORD0055"/>
        <s v="ORD0083"/>
        <s v="ORD0048"/>
        <s v="ORD0015"/>
        <s v="ORD0009"/>
        <s v="ORD0096"/>
        <s v="ORD0086"/>
        <s v="ORD0098"/>
        <s v="ORD0044"/>
        <s v="ORD0016"/>
        <s v="ORD0024"/>
        <s v="ORD0040"/>
        <s v="ORD0084"/>
        <s v="ORD0094"/>
        <s v="ORD0005"/>
        <s v="ORD0004"/>
        <s v="ORD0090"/>
        <s v="ORD0076"/>
        <s v="ORD0099"/>
        <s v="ORD0033"/>
        <s v="ORD0097"/>
        <s v="ORD0028"/>
        <s v="ORD0036"/>
        <s v="ORD0025"/>
        <s v="ORD0043"/>
        <s v="ORD0066"/>
        <s v="ORD0017"/>
        <s v="ORD0069"/>
        <s v="ORD0018"/>
        <s v="ORD0002"/>
        <s v="ORD0077"/>
        <s v="ORD0057"/>
        <s v="ORD0008"/>
        <s v="ORD0045"/>
        <s v="ORD0079"/>
        <s v="ORD0049"/>
        <s v="ORD0001"/>
        <s v="ORD0063"/>
        <s v="ORD0081"/>
        <s v="ORD0087"/>
        <s v="ORD0052"/>
        <s v="ORD0003"/>
        <s v="ORD0031"/>
        <s v="ORD0061"/>
        <s v="ORD0062"/>
      </sharedItems>
    </cacheField>
    <cacheField name="Order_Date" numFmtId="164">
      <sharedItems containsSemiMixedTypes="0" containsNonDate="0" containsDate="1" containsString="0" minDate="2026-01-04T00:00:00" maxDate="2026-09-01T00:00:00" count="82">
        <d v="2026-06-21T00:00:00"/>
        <d v="2026-03-11T00:00:00"/>
        <d v="2026-05-09T00:00:00"/>
        <d v="2026-04-24T00:00:00"/>
        <d v="2026-06-09T00:00:00"/>
        <d v="2026-02-23T00:00:00"/>
        <d v="2026-08-03T00:00:00"/>
        <d v="2026-06-16T00:00:00"/>
        <d v="2026-06-29T00:00:00"/>
        <d v="2026-01-15T00:00:00"/>
        <d v="2026-03-31T00:00:00"/>
        <d v="2026-04-02T00:00:00"/>
        <d v="2026-07-02T00:00:00"/>
        <d v="2026-03-14T00:00:00"/>
        <d v="2026-04-01T00:00:00"/>
        <d v="2026-05-10T00:00:00"/>
        <d v="2026-05-19T00:00:00"/>
        <d v="2026-08-08T00:00:00"/>
        <d v="2026-08-31T00:00:00"/>
        <d v="2026-04-08T00:00:00"/>
        <d v="2026-01-19T00:00:00"/>
        <d v="2026-05-18T00:00:00"/>
        <d v="2026-02-01T00:00:00"/>
        <d v="2026-03-09T00:00:00"/>
        <d v="2026-05-26T00:00:00"/>
        <d v="2026-07-20T00:00:00"/>
        <d v="2026-02-10T00:00:00"/>
        <d v="2026-02-26T00:00:00"/>
        <d v="2026-01-10T00:00:00"/>
        <d v="2026-05-31T00:00:00"/>
        <d v="2026-03-12T00:00:00"/>
        <d v="2026-04-21T00:00:00"/>
        <d v="2026-03-06T00:00:00"/>
        <d v="2026-05-25T00:00:00"/>
        <d v="2026-07-31T00:00:00"/>
        <d v="2026-08-12T00:00:00"/>
        <d v="2026-02-27T00:00:00"/>
        <d v="2026-07-14T00:00:00"/>
        <d v="2026-03-13T00:00:00"/>
        <d v="2026-05-28T00:00:00"/>
        <d v="2026-03-03T00:00:00"/>
        <d v="2026-05-29T00:00:00"/>
        <d v="2026-08-09T00:00:00"/>
        <d v="2026-04-25T00:00:00"/>
        <d v="2026-02-06T00:00:00"/>
        <d v="2026-06-10T00:00:00"/>
        <d v="2026-02-18T00:00:00"/>
        <d v="2026-05-01T00:00:00"/>
        <d v="2026-06-04T00:00:00"/>
        <d v="2026-06-18T00:00:00"/>
        <d v="2026-05-30T00:00:00"/>
        <d v="2026-03-29T00:00:00"/>
        <d v="2026-06-30T00:00:00"/>
        <d v="2026-02-12T00:00:00"/>
        <d v="2026-07-11T00:00:00"/>
        <d v="2026-01-04T00:00:00"/>
        <d v="2026-06-17T00:00:00"/>
        <d v="2026-04-26T00:00:00"/>
        <d v="2026-04-18T00:00:00"/>
        <d v="2026-08-02T00:00:00"/>
        <d v="2026-01-12T00:00:00"/>
        <d v="2026-07-06T00:00:00"/>
        <d v="2026-05-16T00:00:00"/>
        <d v="2026-01-07T00:00:00"/>
        <d v="2026-07-26T00:00:00"/>
        <d v="2026-03-05T00:00:00"/>
        <d v="2026-03-04T00:00:00"/>
        <d v="2026-07-01T00:00:00"/>
        <d v="2026-06-05T00:00:00"/>
        <d v="2026-03-24T00:00:00"/>
        <d v="2026-01-27T00:00:00"/>
        <d v="2026-08-13T00:00:00"/>
        <d v="2026-04-27T00:00:00"/>
        <d v="2026-07-13T00:00:00"/>
        <d v="2026-08-20T00:00:00"/>
        <d v="2026-07-08T00:00:00"/>
        <d v="2026-06-27T00:00:00"/>
        <d v="2026-08-04T00:00:00"/>
        <d v="2026-01-20T00:00:00"/>
        <d v="2026-01-22T00:00:00"/>
        <d v="2026-02-11T00:00:00"/>
        <d v="2026-05-05T00:00:00"/>
      </sharedItems>
      <fieldGroup par="20"/>
    </cacheField>
    <cacheField name="Customer_Name" numFmtId="0">
      <sharedItems count="75">
        <s v="Karan Singh"/>
        <s v="Rohan Yadav"/>
        <s v="Mohit Yadav"/>
        <s v="Pooja Sharma"/>
        <s v="Priya Gupta"/>
        <s v="Ananya Agarwal"/>
        <s v="Ananya Verma"/>
        <s v="Kavya Kumar"/>
        <s v="Vikas Tiwari"/>
        <s v="Kavya Sharma"/>
        <s v="Rohan Verma"/>
        <s v="Vikas Mishra"/>
        <s v="Arjun Mishra"/>
        <s v="Arjun Sharma"/>
        <s v="Aditya Yadav"/>
        <s v="Mohit Sharma"/>
        <s v="Aditya Mishra"/>
        <s v="Nisha Yadav"/>
        <s v="Karan Gupta"/>
        <s v="Vikas Agarwal"/>
        <s v="Kavya Agarwal"/>
        <s v="Ishita Verma"/>
        <s v="Priya Tiwari"/>
        <s v="Ishita Yadav"/>
        <s v="Rohan Gupta"/>
        <s v="Arjun Agarwal"/>
        <s v="Aditya Verma"/>
        <s v="Simran Mishra"/>
        <s v="Simran Gupta"/>
        <s v="Mohit Agarwal"/>
        <s v="Ishita Mishra"/>
        <s v="Karan Tiwari"/>
        <s v="Ananya Tiwari"/>
        <s v="Aarav Patel"/>
        <s v="Aditya Singh"/>
        <s v="Simran Singh"/>
        <s v="Aditya Sharma"/>
        <s v="Vikas Patel"/>
        <s v="Rohan Kumar"/>
        <s v="Saurabh Yadav"/>
        <s v="Pooja Agarwal"/>
        <s v="Neha Patel"/>
        <s v="Nisha Kumar"/>
        <s v="Vikas Kumar"/>
        <s v="Aditya Gupta"/>
        <s v="Simran Sharma"/>
        <s v="Kavya Singh"/>
        <s v="Arjun Gupta"/>
        <s v="Mohit Gupta"/>
        <s v="Simran Patel"/>
        <s v="Ishita Patel"/>
        <s v="Simran Agarwal"/>
        <s v="Riya Singh"/>
        <s v="Amit Yadav"/>
        <s v="Priya Kumar"/>
        <s v="Priya Patel"/>
        <s v="Amit Tiwari"/>
        <s v="Pooja Verma"/>
        <s v="Pooja Yadav"/>
        <s v="Neha Singh"/>
        <s v="Kavya Mishra"/>
        <s v="Kavya Gupta"/>
        <s v="Aditya Agarwal"/>
        <s v="Vikas Sharma"/>
        <s v="Saurabh Agarwal"/>
        <s v="Kavya Patel"/>
        <s v="Neha Mishra"/>
        <s v="Riya Kumar"/>
        <s v="Arjun Tiwari"/>
        <s v="Aarav Agarwal"/>
        <s v="Kavya Yadav"/>
        <s v="Saurabh Mishra"/>
        <s v="Arjun Yadav"/>
        <s v="Rahul Kumar"/>
        <s v="Nisha Tiwari"/>
      </sharedItems>
    </cacheField>
    <cacheField name="City" numFmtId="0">
      <sharedItems count="10">
        <s v="Agra"/>
        <s v="Noida"/>
        <s v="Lucknow"/>
        <s v="Patna"/>
        <s v="Prayagraj"/>
        <s v="Delhi"/>
        <s v="Varanasi"/>
        <s v="Bhopal"/>
        <s v="Jaipur"/>
        <s v="Kanpur"/>
      </sharedItems>
    </cacheField>
    <cacheField name="State" numFmtId="0">
      <sharedItems count="5">
        <s v="Uttar Pradesh"/>
        <s v="Bihar"/>
        <s v="Delhi"/>
        <s v="Madhya Pradesh"/>
        <s v="Rajasthan"/>
      </sharedItems>
    </cacheField>
    <cacheField name="Product" numFmtId="0">
      <sharedItems count="20">
        <s v="Notebook"/>
        <s v="Pen Set"/>
        <s v="Calculator"/>
        <s v="Mouse"/>
        <s v="USB Drive"/>
        <s v="Keyboard"/>
        <s v="Power Bank"/>
        <s v="Backpack"/>
        <s v="Headphones"/>
        <s v="Webcam"/>
        <s v="Speaker"/>
        <s v="Smartwatch"/>
        <s v="Desk"/>
        <s v="External HDD"/>
        <s v="Office Chair"/>
        <s v="Printer"/>
        <s v="Monitor"/>
        <s v="Tablet"/>
        <s v="Smartphone"/>
        <s v="Laptop"/>
      </sharedItems>
    </cacheField>
    <cacheField name="Category" numFmtId="0">
      <sharedItems count="4">
        <s v="Stationery"/>
        <s v="Accessories"/>
        <s v="Electronic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60" maxValue="59930" count="94">
        <n v="160"/>
        <n v="170"/>
        <n v="180"/>
        <n v="190"/>
        <n v="200"/>
        <n v="230"/>
        <n v="250"/>
        <n v="520"/>
        <n v="530"/>
        <n v="590"/>
        <n v="640"/>
        <n v="660"/>
        <n v="680"/>
        <n v="710"/>
        <n v="740"/>
        <n v="760"/>
        <n v="830"/>
        <n v="860"/>
        <n v="870"/>
        <n v="880"/>
        <n v="1090"/>
        <n v="1120"/>
        <n v="1170"/>
        <n v="1310"/>
        <n v="1460"/>
        <n v="1500"/>
        <n v="1540"/>
        <n v="1590"/>
        <n v="1620"/>
        <n v="1650"/>
        <n v="1710"/>
        <n v="1750"/>
        <n v="1760"/>
        <n v="1780"/>
        <n v="1920"/>
        <n v="2450"/>
        <n v="2690"/>
        <n v="2730"/>
        <n v="2940"/>
        <n v="2960"/>
        <n v="3000"/>
        <n v="3020"/>
        <n v="3110"/>
        <n v="3130"/>
        <n v="3150"/>
        <n v="3230"/>
        <n v="3390"/>
        <n v="3480"/>
        <n v="4080"/>
        <n v="4160"/>
        <n v="4300"/>
        <n v="4390"/>
        <n v="4640"/>
        <n v="4720"/>
        <n v="4870"/>
        <n v="4920"/>
        <n v="6330"/>
        <n v="6370"/>
        <n v="6420"/>
        <n v="6500"/>
        <n v="6570"/>
        <n v="6970"/>
        <n v="7030"/>
        <n v="7980"/>
        <n v="8100"/>
        <n v="8380"/>
        <n v="8630"/>
        <n v="8800"/>
        <n v="8810"/>
        <n v="9040"/>
        <n v="9140"/>
        <n v="10390"/>
        <n v="11090"/>
        <n v="11150"/>
        <n v="11230"/>
        <n v="11330"/>
        <n v="12140"/>
        <n v="12410"/>
        <n v="17040"/>
        <n v="17450"/>
        <n v="18690"/>
        <n v="19490"/>
        <n v="23750"/>
        <n v="25090"/>
        <n v="26660"/>
        <n v="52190"/>
        <n v="52740"/>
        <n v="53990"/>
        <n v="54010"/>
        <n v="56010"/>
        <n v="57180"/>
        <n v="57980"/>
        <n v="58860"/>
        <n v="59930"/>
      </sharedItems>
    </cacheField>
    <cacheField name="Discount_%" numFmtId="0">
      <sharedItems containsSemiMixedTypes="0" containsString="0" containsNumber="1" minValue="0" maxValue="0.2" count="5">
        <n v="0.1"/>
        <n v="0.15"/>
        <n v="0"/>
        <n v="0.2"/>
        <n v="0.05"/>
      </sharedItems>
    </cacheField>
    <cacheField name="Gross_Sales" numFmtId="0">
      <sharedItems containsSemiMixedTypes="0" containsString="0" containsNumber="1" containsInteger="1" minValue="190" maxValue="299650" count="97">
        <n v="640"/>
        <n v="850"/>
        <n v="360"/>
        <n v="190"/>
        <n v="200"/>
        <n v="690"/>
        <n v="1150"/>
        <n v="500"/>
        <n v="250"/>
        <n v="1040"/>
        <n v="520"/>
        <n v="1060"/>
        <n v="590"/>
        <n v="1980"/>
        <n v="1360"/>
        <n v="1420"/>
        <n v="2960"/>
        <n v="3040"/>
        <n v="2490"/>
        <n v="3440"/>
        <n v="870"/>
        <n v="4400"/>
        <n v="4360"/>
        <n v="2240"/>
        <n v="4680"/>
        <n v="6550"/>
        <n v="2920"/>
        <n v="3000"/>
        <n v="1540"/>
        <n v="1590"/>
        <n v="1620"/>
        <n v="6600"/>
        <n v="3300"/>
        <n v="1710"/>
        <n v="7000"/>
        <n v="1760"/>
        <n v="3560"/>
        <n v="3840"/>
        <n v="2450"/>
        <n v="8070"/>
        <n v="5460"/>
        <n v="11760"/>
        <n v="14800"/>
        <n v="6000"/>
        <n v="12080"/>
        <n v="9330"/>
        <n v="3130"/>
        <n v="9450"/>
        <n v="3230"/>
        <n v="13560"/>
        <n v="10440"/>
        <n v="20400"/>
        <n v="8320"/>
        <n v="4300"/>
        <n v="8780"/>
        <n v="9280"/>
        <n v="9440"/>
        <n v="4870"/>
        <n v="19680"/>
        <n v="31650"/>
        <n v="25480"/>
        <n v="19260"/>
        <n v="26000"/>
        <n v="19710"/>
        <n v="27880"/>
        <n v="7030"/>
        <n v="39900"/>
        <n v="40500"/>
        <n v="25140"/>
        <n v="43150"/>
        <n v="8800"/>
        <n v="17620"/>
        <n v="18080"/>
        <n v="9140"/>
        <n v="10390"/>
        <n v="44360"/>
        <n v="22300"/>
        <n v="33690"/>
        <n v="56650"/>
        <n v="12140"/>
        <n v="37230"/>
        <n v="34080"/>
        <n v="69800"/>
        <n v="93450"/>
        <n v="38980"/>
        <n v="118750"/>
        <n v="50180"/>
        <n v="53320"/>
        <n v="156570"/>
        <n v="52740"/>
        <n v="269950"/>
        <n v="108020"/>
        <n v="224040"/>
        <n v="114360"/>
        <n v="173940"/>
        <n v="235440"/>
        <n v="299650"/>
      </sharedItems>
    </cacheField>
    <cacheField name="Discount_Amount" numFmtId="0">
      <sharedItems containsSemiMixedTypes="0" containsString="0" containsNumber="1" minValue="0" maxValue="17394" count="81">
        <n v="64"/>
        <n v="127.5"/>
        <n v="36"/>
        <n v="0"/>
        <n v="20"/>
        <n v="69"/>
        <n v="230"/>
        <n v="100"/>
        <n v="25"/>
        <n v="52"/>
        <n v="156"/>
        <n v="104"/>
        <n v="118"/>
        <n v="96"/>
        <n v="198"/>
        <n v="68"/>
        <n v="71"/>
        <n v="152"/>
        <n v="373.5"/>
        <n v="516"/>
        <n v="43.5"/>
        <n v="440"/>
        <n v="436"/>
        <n v="936"/>
        <n v="655"/>
        <n v="292"/>
        <n v="450"/>
        <n v="77"/>
        <n v="159"/>
        <n v="324"/>
        <n v="330"/>
        <n v="85.5"/>
        <n v="1050"/>
        <n v="176"/>
        <n v="356"/>
        <n v="807"/>
        <n v="2960"/>
        <n v="1200"/>
        <n v="2416"/>
        <n v="466.5"/>
        <n v="626"/>
        <n v="1417.5"/>
        <n v="323"/>
        <n v="678"/>
        <n v="522"/>
        <n v="2040"/>
        <n v="645"/>
        <n v="439"/>
        <n v="1856"/>
        <n v="1888"/>
        <n v="487"/>
        <n v="984"/>
        <n v="4747.5"/>
        <n v="1274"/>
        <n v="3852"/>
        <n v="5200"/>
        <n v="985.5"/>
        <n v="4182"/>
        <n v="1054.5"/>
        <n v="1257"/>
        <n v="2157.5"/>
        <n v="1320"/>
        <n v="2712"/>
        <n v="914"/>
        <n v="1039"/>
        <n v="8872"/>
        <n v="1821"/>
        <n v="1861.5"/>
        <n v="6816"/>
        <n v="6980"/>
        <n v="4672.5"/>
        <n v="7796"/>
        <n v="10036"/>
        <n v="7998"/>
        <n v="7828.5"/>
        <n v="7911"/>
        <n v="13497.5"/>
        <n v="5401"/>
        <n v="11436"/>
        <n v="17394"/>
        <n v="11772"/>
      </sharedItems>
    </cacheField>
    <cacheField name="Net_Sales" numFmtId="0">
      <sharedItems containsSemiMixedTypes="0" containsString="0" containsNumber="1" minValue="180" maxValue="299650" count="99">
        <n v="576"/>
        <n v="722.5"/>
        <n v="324"/>
        <n v="190"/>
        <n v="180"/>
        <n v="621"/>
        <n v="920"/>
        <n v="400"/>
        <n v="225"/>
        <n v="988"/>
        <n v="884"/>
        <n v="416"/>
        <n v="1060"/>
        <n v="472"/>
        <n v="544"/>
        <n v="1782"/>
        <n v="1292"/>
        <n v="1349"/>
        <n v="2960"/>
        <n v="2888"/>
        <n v="2116.5"/>
        <n v="2924"/>
        <n v="826.5"/>
        <n v="3960"/>
        <n v="3924"/>
        <n v="2240"/>
        <n v="3744"/>
        <n v="5895"/>
        <n v="2628"/>
        <n v="2550"/>
        <n v="1463"/>
        <n v="1431"/>
        <n v="1296"/>
        <n v="6600"/>
        <n v="2970"/>
        <n v="1624.5"/>
        <n v="5950"/>
        <n v="1584"/>
        <n v="3204"/>
        <n v="3840"/>
        <n v="2450"/>
        <n v="7263"/>
        <n v="5460"/>
        <n v="11760"/>
        <n v="11840"/>
        <n v="4800"/>
        <n v="9664"/>
        <n v="8863.5"/>
        <n v="2504"/>
        <n v="8032.5"/>
        <n v="2907"/>
        <n v="12882"/>
        <n v="9918"/>
        <n v="18360"/>
        <n v="8320"/>
        <n v="3655"/>
        <n v="8341"/>
        <n v="7424"/>
        <n v="7552"/>
        <n v="4383"/>
        <n v="18696"/>
        <n v="26902.5"/>
        <n v="24206"/>
        <n v="15408"/>
        <n v="20800"/>
        <n v="18724.5"/>
        <n v="23698"/>
        <n v="5975.5"/>
        <n v="39900"/>
        <n v="40500"/>
        <n v="23883"/>
        <n v="40992.5"/>
        <n v="7480"/>
        <n v="17620"/>
        <n v="15368"/>
        <n v="8226"/>
        <n v="9351"/>
        <n v="35488"/>
        <n v="22300"/>
        <n v="33690"/>
        <n v="56650"/>
        <n v="10319"/>
        <n v="35368.5"/>
        <n v="27264"/>
        <n v="62820"/>
        <n v="88777.5"/>
        <n v="31184"/>
        <n v="118750"/>
        <n v="40144"/>
        <n v="45322"/>
        <n v="148741.5"/>
        <n v="44829"/>
        <n v="256452.5"/>
        <n v="102619"/>
        <n v="224040"/>
        <n v="102924"/>
        <n v="156546"/>
        <n v="223668"/>
        <n v="299650"/>
      </sharedItems>
    </cacheField>
    <cacheField name="Sales_Channel" numFmtId="0">
      <sharedItems count="3">
        <s v="Mobile App"/>
        <s v="Marketplace"/>
        <s v="Website"/>
      </sharedItems>
    </cacheField>
    <cacheField name="Payment_Method" numFmtId="0">
      <sharedItems count="5">
        <s v="Credit Card"/>
        <s v="Debit Card"/>
        <s v="Net Banking"/>
        <s v="Cash on Delivery"/>
        <s v="UPI"/>
      </sharedItems>
    </cacheField>
    <cacheField name="Order_Status" numFmtId="0">
      <sharedItems count="4">
        <s v="Delivered"/>
        <s v="Returned"/>
        <s v="Cancelled"/>
        <s v="Shipped"/>
      </sharedItems>
    </cacheField>
    <cacheField name="Salesperson" numFmtId="0">
      <sharedItems count="5">
        <s v="Esha"/>
        <s v="Chetan"/>
        <s v="Aman"/>
        <s v="Deepak"/>
        <s v="Bhavna"/>
      </sharedItems>
    </cacheField>
    <cacheField name="Sales Profmance" numFmtId="0">
      <sharedItems count="2">
        <s v="Low"/>
        <s v="High"/>
      </sharedItems>
    </cacheField>
    <cacheField name="Sales_Classification" numFmtId="0">
      <sharedItems count="3">
        <s v="Low"/>
        <s v="Medium"/>
        <s v="High"/>
      </sharedItems>
    </cacheField>
    <cacheField name="Days (Order_Date)" numFmtId="0" databaseField="0">
      <fieldGroup base="1">
        <rangePr groupBy="days" startDate="2026-01-04T00:00:00" endDate="2026-09-01T00:00:00"/>
        <groupItems count="368">
          <s v="&lt;04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9-2026"/>
        </groupItems>
      </fieldGroup>
    </cacheField>
    <cacheField name="Months (Order_Date)" numFmtId="0" databaseField="0">
      <fieldGroup base="1">
        <rangePr groupBy="months" startDate="2026-01-04T00:00:00" endDate="2026-09-01T00:00:00"/>
        <groupItems count="14">
          <s v="&lt;04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9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x v="0"/>
    <x v="0"/>
    <n v="4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0"/>
    <n v="5"/>
    <x v="1"/>
    <x v="1"/>
    <x v="1"/>
    <x v="1"/>
    <x v="1"/>
    <x v="1"/>
    <x v="0"/>
    <x v="0"/>
    <x v="1"/>
    <x v="0"/>
    <x v="0"/>
  </r>
  <r>
    <x v="2"/>
    <x v="2"/>
    <x v="2"/>
    <x v="0"/>
    <x v="0"/>
    <x v="0"/>
    <x v="0"/>
    <n v="2"/>
    <x v="2"/>
    <x v="0"/>
    <x v="2"/>
    <x v="2"/>
    <x v="2"/>
    <x v="1"/>
    <x v="1"/>
    <x v="0"/>
    <x v="0"/>
    <x v="0"/>
    <x v="0"/>
  </r>
  <r>
    <x v="3"/>
    <x v="3"/>
    <x v="3"/>
    <x v="2"/>
    <x v="0"/>
    <x v="0"/>
    <x v="0"/>
    <n v="1"/>
    <x v="3"/>
    <x v="2"/>
    <x v="3"/>
    <x v="3"/>
    <x v="3"/>
    <x v="2"/>
    <x v="1"/>
    <x v="0"/>
    <x v="2"/>
    <x v="0"/>
    <x v="0"/>
  </r>
  <r>
    <x v="4"/>
    <x v="4"/>
    <x v="4"/>
    <x v="1"/>
    <x v="0"/>
    <x v="0"/>
    <x v="0"/>
    <n v="1"/>
    <x v="4"/>
    <x v="0"/>
    <x v="4"/>
    <x v="4"/>
    <x v="4"/>
    <x v="1"/>
    <x v="1"/>
    <x v="0"/>
    <x v="3"/>
    <x v="0"/>
    <x v="0"/>
  </r>
  <r>
    <x v="5"/>
    <x v="5"/>
    <x v="5"/>
    <x v="0"/>
    <x v="0"/>
    <x v="1"/>
    <x v="0"/>
    <n v="3"/>
    <x v="5"/>
    <x v="0"/>
    <x v="5"/>
    <x v="5"/>
    <x v="5"/>
    <x v="1"/>
    <x v="0"/>
    <x v="0"/>
    <x v="0"/>
    <x v="0"/>
    <x v="0"/>
  </r>
  <r>
    <x v="6"/>
    <x v="6"/>
    <x v="6"/>
    <x v="2"/>
    <x v="0"/>
    <x v="1"/>
    <x v="0"/>
    <n v="5"/>
    <x v="5"/>
    <x v="3"/>
    <x v="6"/>
    <x v="6"/>
    <x v="6"/>
    <x v="2"/>
    <x v="2"/>
    <x v="0"/>
    <x v="3"/>
    <x v="0"/>
    <x v="0"/>
  </r>
  <r>
    <x v="7"/>
    <x v="7"/>
    <x v="7"/>
    <x v="1"/>
    <x v="0"/>
    <x v="1"/>
    <x v="0"/>
    <n v="2"/>
    <x v="6"/>
    <x v="3"/>
    <x v="7"/>
    <x v="7"/>
    <x v="7"/>
    <x v="0"/>
    <x v="2"/>
    <x v="0"/>
    <x v="0"/>
    <x v="0"/>
    <x v="0"/>
  </r>
  <r>
    <x v="8"/>
    <x v="8"/>
    <x v="8"/>
    <x v="0"/>
    <x v="0"/>
    <x v="1"/>
    <x v="0"/>
    <n v="1"/>
    <x v="6"/>
    <x v="0"/>
    <x v="8"/>
    <x v="8"/>
    <x v="8"/>
    <x v="1"/>
    <x v="2"/>
    <x v="0"/>
    <x v="3"/>
    <x v="0"/>
    <x v="0"/>
  </r>
  <r>
    <x v="9"/>
    <x v="9"/>
    <x v="9"/>
    <x v="3"/>
    <x v="1"/>
    <x v="2"/>
    <x v="0"/>
    <n v="2"/>
    <x v="7"/>
    <x v="4"/>
    <x v="9"/>
    <x v="9"/>
    <x v="9"/>
    <x v="1"/>
    <x v="1"/>
    <x v="0"/>
    <x v="2"/>
    <x v="0"/>
    <x v="0"/>
  </r>
  <r>
    <x v="10"/>
    <x v="10"/>
    <x v="10"/>
    <x v="4"/>
    <x v="0"/>
    <x v="2"/>
    <x v="0"/>
    <n v="2"/>
    <x v="7"/>
    <x v="1"/>
    <x v="9"/>
    <x v="10"/>
    <x v="10"/>
    <x v="2"/>
    <x v="0"/>
    <x v="0"/>
    <x v="3"/>
    <x v="0"/>
    <x v="0"/>
  </r>
  <r>
    <x v="11"/>
    <x v="11"/>
    <x v="3"/>
    <x v="5"/>
    <x v="2"/>
    <x v="2"/>
    <x v="0"/>
    <n v="1"/>
    <x v="7"/>
    <x v="3"/>
    <x v="10"/>
    <x v="11"/>
    <x v="11"/>
    <x v="1"/>
    <x v="2"/>
    <x v="0"/>
    <x v="1"/>
    <x v="0"/>
    <x v="0"/>
  </r>
  <r>
    <x v="12"/>
    <x v="12"/>
    <x v="11"/>
    <x v="3"/>
    <x v="1"/>
    <x v="2"/>
    <x v="0"/>
    <n v="2"/>
    <x v="8"/>
    <x v="2"/>
    <x v="11"/>
    <x v="3"/>
    <x v="12"/>
    <x v="0"/>
    <x v="3"/>
    <x v="0"/>
    <x v="2"/>
    <x v="0"/>
    <x v="0"/>
  </r>
  <r>
    <x v="13"/>
    <x v="13"/>
    <x v="12"/>
    <x v="6"/>
    <x v="0"/>
    <x v="2"/>
    <x v="0"/>
    <n v="1"/>
    <x v="9"/>
    <x v="3"/>
    <x v="12"/>
    <x v="12"/>
    <x v="13"/>
    <x v="2"/>
    <x v="4"/>
    <x v="0"/>
    <x v="1"/>
    <x v="0"/>
    <x v="0"/>
  </r>
  <r>
    <x v="14"/>
    <x v="14"/>
    <x v="13"/>
    <x v="5"/>
    <x v="2"/>
    <x v="3"/>
    <x v="1"/>
    <n v="1"/>
    <x v="10"/>
    <x v="1"/>
    <x v="0"/>
    <x v="13"/>
    <x v="14"/>
    <x v="1"/>
    <x v="4"/>
    <x v="0"/>
    <x v="2"/>
    <x v="0"/>
    <x v="0"/>
  </r>
  <r>
    <x v="15"/>
    <x v="15"/>
    <x v="14"/>
    <x v="7"/>
    <x v="3"/>
    <x v="3"/>
    <x v="1"/>
    <n v="3"/>
    <x v="11"/>
    <x v="0"/>
    <x v="13"/>
    <x v="14"/>
    <x v="15"/>
    <x v="1"/>
    <x v="2"/>
    <x v="0"/>
    <x v="1"/>
    <x v="0"/>
    <x v="0"/>
  </r>
  <r>
    <x v="16"/>
    <x v="16"/>
    <x v="15"/>
    <x v="7"/>
    <x v="3"/>
    <x v="3"/>
    <x v="1"/>
    <n v="2"/>
    <x v="12"/>
    <x v="4"/>
    <x v="14"/>
    <x v="15"/>
    <x v="16"/>
    <x v="1"/>
    <x v="1"/>
    <x v="1"/>
    <x v="3"/>
    <x v="0"/>
    <x v="0"/>
  </r>
  <r>
    <x v="17"/>
    <x v="17"/>
    <x v="16"/>
    <x v="1"/>
    <x v="0"/>
    <x v="3"/>
    <x v="1"/>
    <n v="2"/>
    <x v="13"/>
    <x v="4"/>
    <x v="15"/>
    <x v="16"/>
    <x v="17"/>
    <x v="1"/>
    <x v="2"/>
    <x v="0"/>
    <x v="3"/>
    <x v="0"/>
    <x v="0"/>
  </r>
  <r>
    <x v="18"/>
    <x v="18"/>
    <x v="17"/>
    <x v="8"/>
    <x v="4"/>
    <x v="4"/>
    <x v="1"/>
    <n v="4"/>
    <x v="14"/>
    <x v="2"/>
    <x v="16"/>
    <x v="3"/>
    <x v="18"/>
    <x v="2"/>
    <x v="0"/>
    <x v="0"/>
    <x v="0"/>
    <x v="0"/>
    <x v="0"/>
  </r>
  <r>
    <x v="19"/>
    <x v="19"/>
    <x v="18"/>
    <x v="8"/>
    <x v="4"/>
    <x v="3"/>
    <x v="1"/>
    <n v="4"/>
    <x v="15"/>
    <x v="4"/>
    <x v="17"/>
    <x v="17"/>
    <x v="19"/>
    <x v="0"/>
    <x v="1"/>
    <x v="0"/>
    <x v="3"/>
    <x v="0"/>
    <x v="0"/>
  </r>
  <r>
    <x v="20"/>
    <x v="20"/>
    <x v="19"/>
    <x v="9"/>
    <x v="0"/>
    <x v="4"/>
    <x v="1"/>
    <n v="3"/>
    <x v="16"/>
    <x v="1"/>
    <x v="18"/>
    <x v="18"/>
    <x v="20"/>
    <x v="1"/>
    <x v="0"/>
    <x v="0"/>
    <x v="3"/>
    <x v="0"/>
    <x v="0"/>
  </r>
  <r>
    <x v="21"/>
    <x v="21"/>
    <x v="20"/>
    <x v="1"/>
    <x v="0"/>
    <x v="4"/>
    <x v="1"/>
    <n v="4"/>
    <x v="17"/>
    <x v="1"/>
    <x v="19"/>
    <x v="19"/>
    <x v="21"/>
    <x v="2"/>
    <x v="2"/>
    <x v="0"/>
    <x v="4"/>
    <x v="0"/>
    <x v="0"/>
  </r>
  <r>
    <x v="22"/>
    <x v="22"/>
    <x v="21"/>
    <x v="6"/>
    <x v="0"/>
    <x v="4"/>
    <x v="1"/>
    <n v="4"/>
    <x v="17"/>
    <x v="1"/>
    <x v="19"/>
    <x v="19"/>
    <x v="21"/>
    <x v="1"/>
    <x v="0"/>
    <x v="0"/>
    <x v="1"/>
    <x v="0"/>
    <x v="0"/>
  </r>
  <r>
    <x v="23"/>
    <x v="23"/>
    <x v="22"/>
    <x v="3"/>
    <x v="1"/>
    <x v="4"/>
    <x v="1"/>
    <n v="1"/>
    <x v="18"/>
    <x v="4"/>
    <x v="20"/>
    <x v="20"/>
    <x v="22"/>
    <x v="2"/>
    <x v="1"/>
    <x v="0"/>
    <x v="1"/>
    <x v="0"/>
    <x v="0"/>
  </r>
  <r>
    <x v="24"/>
    <x v="24"/>
    <x v="23"/>
    <x v="8"/>
    <x v="4"/>
    <x v="4"/>
    <x v="1"/>
    <n v="5"/>
    <x v="19"/>
    <x v="0"/>
    <x v="21"/>
    <x v="21"/>
    <x v="23"/>
    <x v="2"/>
    <x v="0"/>
    <x v="0"/>
    <x v="1"/>
    <x v="0"/>
    <x v="0"/>
  </r>
  <r>
    <x v="25"/>
    <x v="25"/>
    <x v="24"/>
    <x v="6"/>
    <x v="0"/>
    <x v="5"/>
    <x v="1"/>
    <n v="4"/>
    <x v="20"/>
    <x v="0"/>
    <x v="22"/>
    <x v="22"/>
    <x v="24"/>
    <x v="2"/>
    <x v="4"/>
    <x v="2"/>
    <x v="3"/>
    <x v="0"/>
    <x v="0"/>
  </r>
  <r>
    <x v="26"/>
    <x v="26"/>
    <x v="25"/>
    <x v="2"/>
    <x v="0"/>
    <x v="5"/>
    <x v="1"/>
    <n v="2"/>
    <x v="21"/>
    <x v="2"/>
    <x v="23"/>
    <x v="3"/>
    <x v="25"/>
    <x v="0"/>
    <x v="1"/>
    <x v="0"/>
    <x v="2"/>
    <x v="0"/>
    <x v="0"/>
  </r>
  <r>
    <x v="27"/>
    <x v="27"/>
    <x v="26"/>
    <x v="9"/>
    <x v="0"/>
    <x v="5"/>
    <x v="1"/>
    <n v="4"/>
    <x v="22"/>
    <x v="3"/>
    <x v="24"/>
    <x v="23"/>
    <x v="26"/>
    <x v="2"/>
    <x v="1"/>
    <x v="0"/>
    <x v="3"/>
    <x v="0"/>
    <x v="0"/>
  </r>
  <r>
    <x v="28"/>
    <x v="28"/>
    <x v="27"/>
    <x v="0"/>
    <x v="0"/>
    <x v="5"/>
    <x v="1"/>
    <n v="5"/>
    <x v="23"/>
    <x v="0"/>
    <x v="25"/>
    <x v="24"/>
    <x v="27"/>
    <x v="1"/>
    <x v="1"/>
    <x v="0"/>
    <x v="3"/>
    <x v="0"/>
    <x v="0"/>
  </r>
  <r>
    <x v="29"/>
    <x v="29"/>
    <x v="28"/>
    <x v="0"/>
    <x v="0"/>
    <x v="6"/>
    <x v="1"/>
    <n v="2"/>
    <x v="24"/>
    <x v="0"/>
    <x v="26"/>
    <x v="25"/>
    <x v="28"/>
    <x v="0"/>
    <x v="1"/>
    <x v="0"/>
    <x v="4"/>
    <x v="0"/>
    <x v="0"/>
  </r>
  <r>
    <x v="30"/>
    <x v="30"/>
    <x v="29"/>
    <x v="2"/>
    <x v="0"/>
    <x v="6"/>
    <x v="1"/>
    <n v="2"/>
    <x v="25"/>
    <x v="1"/>
    <x v="27"/>
    <x v="26"/>
    <x v="29"/>
    <x v="0"/>
    <x v="4"/>
    <x v="0"/>
    <x v="4"/>
    <x v="0"/>
    <x v="0"/>
  </r>
  <r>
    <x v="31"/>
    <x v="31"/>
    <x v="30"/>
    <x v="5"/>
    <x v="2"/>
    <x v="6"/>
    <x v="1"/>
    <n v="1"/>
    <x v="26"/>
    <x v="4"/>
    <x v="28"/>
    <x v="27"/>
    <x v="30"/>
    <x v="0"/>
    <x v="2"/>
    <x v="0"/>
    <x v="3"/>
    <x v="0"/>
    <x v="0"/>
  </r>
  <r>
    <x v="32"/>
    <x v="32"/>
    <x v="31"/>
    <x v="5"/>
    <x v="2"/>
    <x v="6"/>
    <x v="1"/>
    <n v="1"/>
    <x v="27"/>
    <x v="0"/>
    <x v="29"/>
    <x v="28"/>
    <x v="31"/>
    <x v="2"/>
    <x v="3"/>
    <x v="0"/>
    <x v="3"/>
    <x v="0"/>
    <x v="0"/>
  </r>
  <r>
    <x v="33"/>
    <x v="33"/>
    <x v="32"/>
    <x v="8"/>
    <x v="4"/>
    <x v="7"/>
    <x v="1"/>
    <n v="1"/>
    <x v="28"/>
    <x v="3"/>
    <x v="30"/>
    <x v="29"/>
    <x v="32"/>
    <x v="2"/>
    <x v="3"/>
    <x v="1"/>
    <x v="1"/>
    <x v="0"/>
    <x v="0"/>
  </r>
  <r>
    <x v="34"/>
    <x v="15"/>
    <x v="33"/>
    <x v="1"/>
    <x v="0"/>
    <x v="6"/>
    <x v="1"/>
    <n v="4"/>
    <x v="29"/>
    <x v="2"/>
    <x v="31"/>
    <x v="3"/>
    <x v="33"/>
    <x v="0"/>
    <x v="4"/>
    <x v="0"/>
    <x v="3"/>
    <x v="0"/>
    <x v="0"/>
  </r>
  <r>
    <x v="35"/>
    <x v="34"/>
    <x v="34"/>
    <x v="2"/>
    <x v="0"/>
    <x v="6"/>
    <x v="1"/>
    <n v="2"/>
    <x v="29"/>
    <x v="0"/>
    <x v="32"/>
    <x v="30"/>
    <x v="34"/>
    <x v="0"/>
    <x v="3"/>
    <x v="0"/>
    <x v="0"/>
    <x v="0"/>
    <x v="0"/>
  </r>
  <r>
    <x v="36"/>
    <x v="21"/>
    <x v="35"/>
    <x v="5"/>
    <x v="2"/>
    <x v="7"/>
    <x v="1"/>
    <n v="1"/>
    <x v="30"/>
    <x v="4"/>
    <x v="33"/>
    <x v="31"/>
    <x v="35"/>
    <x v="0"/>
    <x v="2"/>
    <x v="0"/>
    <x v="4"/>
    <x v="0"/>
    <x v="0"/>
  </r>
  <r>
    <x v="37"/>
    <x v="35"/>
    <x v="23"/>
    <x v="1"/>
    <x v="0"/>
    <x v="6"/>
    <x v="1"/>
    <n v="4"/>
    <x v="31"/>
    <x v="1"/>
    <x v="34"/>
    <x v="32"/>
    <x v="36"/>
    <x v="2"/>
    <x v="1"/>
    <x v="0"/>
    <x v="4"/>
    <x v="0"/>
    <x v="0"/>
  </r>
  <r>
    <x v="38"/>
    <x v="36"/>
    <x v="36"/>
    <x v="4"/>
    <x v="0"/>
    <x v="6"/>
    <x v="1"/>
    <n v="1"/>
    <x v="32"/>
    <x v="0"/>
    <x v="35"/>
    <x v="33"/>
    <x v="37"/>
    <x v="2"/>
    <x v="0"/>
    <x v="0"/>
    <x v="2"/>
    <x v="0"/>
    <x v="0"/>
  </r>
  <r>
    <x v="39"/>
    <x v="37"/>
    <x v="37"/>
    <x v="5"/>
    <x v="2"/>
    <x v="7"/>
    <x v="1"/>
    <n v="2"/>
    <x v="33"/>
    <x v="0"/>
    <x v="36"/>
    <x v="34"/>
    <x v="38"/>
    <x v="0"/>
    <x v="4"/>
    <x v="3"/>
    <x v="3"/>
    <x v="0"/>
    <x v="0"/>
  </r>
  <r>
    <x v="40"/>
    <x v="38"/>
    <x v="38"/>
    <x v="0"/>
    <x v="0"/>
    <x v="7"/>
    <x v="1"/>
    <n v="2"/>
    <x v="34"/>
    <x v="2"/>
    <x v="37"/>
    <x v="3"/>
    <x v="39"/>
    <x v="1"/>
    <x v="3"/>
    <x v="3"/>
    <x v="3"/>
    <x v="0"/>
    <x v="0"/>
  </r>
  <r>
    <x v="41"/>
    <x v="39"/>
    <x v="34"/>
    <x v="8"/>
    <x v="4"/>
    <x v="8"/>
    <x v="2"/>
    <n v="1"/>
    <x v="35"/>
    <x v="2"/>
    <x v="38"/>
    <x v="3"/>
    <x v="40"/>
    <x v="2"/>
    <x v="3"/>
    <x v="0"/>
    <x v="1"/>
    <x v="0"/>
    <x v="0"/>
  </r>
  <r>
    <x v="42"/>
    <x v="40"/>
    <x v="39"/>
    <x v="4"/>
    <x v="0"/>
    <x v="8"/>
    <x v="2"/>
    <n v="3"/>
    <x v="36"/>
    <x v="0"/>
    <x v="39"/>
    <x v="35"/>
    <x v="41"/>
    <x v="2"/>
    <x v="2"/>
    <x v="0"/>
    <x v="2"/>
    <x v="0"/>
    <x v="0"/>
  </r>
  <r>
    <x v="43"/>
    <x v="41"/>
    <x v="40"/>
    <x v="7"/>
    <x v="3"/>
    <x v="8"/>
    <x v="2"/>
    <n v="2"/>
    <x v="37"/>
    <x v="2"/>
    <x v="40"/>
    <x v="3"/>
    <x v="42"/>
    <x v="1"/>
    <x v="2"/>
    <x v="0"/>
    <x v="3"/>
    <x v="0"/>
    <x v="0"/>
  </r>
  <r>
    <x v="44"/>
    <x v="42"/>
    <x v="41"/>
    <x v="6"/>
    <x v="0"/>
    <x v="9"/>
    <x v="2"/>
    <n v="4"/>
    <x v="38"/>
    <x v="2"/>
    <x v="41"/>
    <x v="3"/>
    <x v="43"/>
    <x v="1"/>
    <x v="4"/>
    <x v="0"/>
    <x v="3"/>
    <x v="0"/>
    <x v="0"/>
  </r>
  <r>
    <x v="45"/>
    <x v="43"/>
    <x v="42"/>
    <x v="8"/>
    <x v="4"/>
    <x v="10"/>
    <x v="2"/>
    <n v="5"/>
    <x v="39"/>
    <x v="3"/>
    <x v="42"/>
    <x v="36"/>
    <x v="44"/>
    <x v="0"/>
    <x v="0"/>
    <x v="3"/>
    <x v="1"/>
    <x v="0"/>
    <x v="0"/>
  </r>
  <r>
    <x v="46"/>
    <x v="44"/>
    <x v="43"/>
    <x v="5"/>
    <x v="2"/>
    <x v="10"/>
    <x v="2"/>
    <n v="2"/>
    <x v="40"/>
    <x v="3"/>
    <x v="43"/>
    <x v="37"/>
    <x v="45"/>
    <x v="0"/>
    <x v="4"/>
    <x v="0"/>
    <x v="3"/>
    <x v="0"/>
    <x v="0"/>
  </r>
  <r>
    <x v="47"/>
    <x v="42"/>
    <x v="22"/>
    <x v="5"/>
    <x v="2"/>
    <x v="10"/>
    <x v="2"/>
    <n v="4"/>
    <x v="41"/>
    <x v="3"/>
    <x v="44"/>
    <x v="38"/>
    <x v="46"/>
    <x v="0"/>
    <x v="1"/>
    <x v="2"/>
    <x v="2"/>
    <x v="0"/>
    <x v="0"/>
  </r>
  <r>
    <x v="48"/>
    <x v="45"/>
    <x v="44"/>
    <x v="9"/>
    <x v="0"/>
    <x v="10"/>
    <x v="2"/>
    <n v="3"/>
    <x v="42"/>
    <x v="4"/>
    <x v="45"/>
    <x v="39"/>
    <x v="47"/>
    <x v="0"/>
    <x v="4"/>
    <x v="0"/>
    <x v="0"/>
    <x v="0"/>
    <x v="0"/>
  </r>
  <r>
    <x v="49"/>
    <x v="46"/>
    <x v="45"/>
    <x v="7"/>
    <x v="3"/>
    <x v="9"/>
    <x v="2"/>
    <n v="1"/>
    <x v="43"/>
    <x v="3"/>
    <x v="46"/>
    <x v="40"/>
    <x v="48"/>
    <x v="1"/>
    <x v="3"/>
    <x v="0"/>
    <x v="4"/>
    <x v="0"/>
    <x v="0"/>
  </r>
  <r>
    <x v="50"/>
    <x v="47"/>
    <x v="46"/>
    <x v="0"/>
    <x v="0"/>
    <x v="9"/>
    <x v="2"/>
    <n v="3"/>
    <x v="44"/>
    <x v="1"/>
    <x v="47"/>
    <x v="41"/>
    <x v="49"/>
    <x v="0"/>
    <x v="0"/>
    <x v="0"/>
    <x v="0"/>
    <x v="0"/>
    <x v="0"/>
  </r>
  <r>
    <x v="51"/>
    <x v="48"/>
    <x v="6"/>
    <x v="2"/>
    <x v="0"/>
    <x v="10"/>
    <x v="2"/>
    <n v="1"/>
    <x v="45"/>
    <x v="0"/>
    <x v="48"/>
    <x v="42"/>
    <x v="50"/>
    <x v="1"/>
    <x v="3"/>
    <x v="0"/>
    <x v="0"/>
    <x v="0"/>
    <x v="0"/>
  </r>
  <r>
    <x v="52"/>
    <x v="49"/>
    <x v="29"/>
    <x v="9"/>
    <x v="0"/>
    <x v="9"/>
    <x v="2"/>
    <n v="4"/>
    <x v="46"/>
    <x v="4"/>
    <x v="49"/>
    <x v="43"/>
    <x v="51"/>
    <x v="0"/>
    <x v="4"/>
    <x v="0"/>
    <x v="4"/>
    <x v="0"/>
    <x v="0"/>
  </r>
  <r>
    <x v="53"/>
    <x v="0"/>
    <x v="24"/>
    <x v="7"/>
    <x v="3"/>
    <x v="9"/>
    <x v="2"/>
    <n v="3"/>
    <x v="47"/>
    <x v="4"/>
    <x v="50"/>
    <x v="44"/>
    <x v="52"/>
    <x v="0"/>
    <x v="0"/>
    <x v="0"/>
    <x v="1"/>
    <x v="0"/>
    <x v="0"/>
  </r>
  <r>
    <x v="54"/>
    <x v="50"/>
    <x v="35"/>
    <x v="2"/>
    <x v="0"/>
    <x v="11"/>
    <x v="2"/>
    <n v="5"/>
    <x v="48"/>
    <x v="0"/>
    <x v="51"/>
    <x v="45"/>
    <x v="53"/>
    <x v="2"/>
    <x v="1"/>
    <x v="0"/>
    <x v="1"/>
    <x v="0"/>
    <x v="0"/>
  </r>
  <r>
    <x v="55"/>
    <x v="33"/>
    <x v="47"/>
    <x v="7"/>
    <x v="3"/>
    <x v="11"/>
    <x v="2"/>
    <n v="2"/>
    <x v="49"/>
    <x v="2"/>
    <x v="52"/>
    <x v="3"/>
    <x v="54"/>
    <x v="0"/>
    <x v="0"/>
    <x v="2"/>
    <x v="0"/>
    <x v="0"/>
    <x v="0"/>
  </r>
  <r>
    <x v="56"/>
    <x v="51"/>
    <x v="48"/>
    <x v="3"/>
    <x v="1"/>
    <x v="11"/>
    <x v="2"/>
    <n v="1"/>
    <x v="50"/>
    <x v="1"/>
    <x v="53"/>
    <x v="46"/>
    <x v="55"/>
    <x v="2"/>
    <x v="1"/>
    <x v="2"/>
    <x v="1"/>
    <x v="0"/>
    <x v="0"/>
  </r>
  <r>
    <x v="57"/>
    <x v="52"/>
    <x v="49"/>
    <x v="6"/>
    <x v="0"/>
    <x v="11"/>
    <x v="2"/>
    <n v="2"/>
    <x v="51"/>
    <x v="4"/>
    <x v="54"/>
    <x v="47"/>
    <x v="56"/>
    <x v="0"/>
    <x v="3"/>
    <x v="0"/>
    <x v="3"/>
    <x v="0"/>
    <x v="0"/>
  </r>
  <r>
    <x v="58"/>
    <x v="53"/>
    <x v="50"/>
    <x v="3"/>
    <x v="1"/>
    <x v="11"/>
    <x v="2"/>
    <n v="2"/>
    <x v="52"/>
    <x v="3"/>
    <x v="55"/>
    <x v="48"/>
    <x v="57"/>
    <x v="2"/>
    <x v="3"/>
    <x v="0"/>
    <x v="4"/>
    <x v="0"/>
    <x v="0"/>
  </r>
  <r>
    <x v="59"/>
    <x v="23"/>
    <x v="51"/>
    <x v="0"/>
    <x v="0"/>
    <x v="11"/>
    <x v="2"/>
    <n v="2"/>
    <x v="53"/>
    <x v="3"/>
    <x v="56"/>
    <x v="49"/>
    <x v="58"/>
    <x v="0"/>
    <x v="1"/>
    <x v="0"/>
    <x v="4"/>
    <x v="0"/>
    <x v="0"/>
  </r>
  <r>
    <x v="60"/>
    <x v="54"/>
    <x v="52"/>
    <x v="1"/>
    <x v="0"/>
    <x v="11"/>
    <x v="2"/>
    <n v="1"/>
    <x v="54"/>
    <x v="0"/>
    <x v="57"/>
    <x v="50"/>
    <x v="59"/>
    <x v="1"/>
    <x v="1"/>
    <x v="0"/>
    <x v="0"/>
    <x v="0"/>
    <x v="0"/>
  </r>
  <r>
    <x v="61"/>
    <x v="2"/>
    <x v="53"/>
    <x v="5"/>
    <x v="2"/>
    <x v="11"/>
    <x v="2"/>
    <n v="4"/>
    <x v="55"/>
    <x v="4"/>
    <x v="58"/>
    <x v="51"/>
    <x v="60"/>
    <x v="0"/>
    <x v="4"/>
    <x v="1"/>
    <x v="0"/>
    <x v="0"/>
    <x v="0"/>
  </r>
  <r>
    <x v="62"/>
    <x v="55"/>
    <x v="54"/>
    <x v="9"/>
    <x v="0"/>
    <x v="12"/>
    <x v="3"/>
    <n v="5"/>
    <x v="56"/>
    <x v="1"/>
    <x v="59"/>
    <x v="52"/>
    <x v="61"/>
    <x v="0"/>
    <x v="1"/>
    <x v="0"/>
    <x v="0"/>
    <x v="0"/>
    <x v="1"/>
  </r>
  <r>
    <x v="63"/>
    <x v="56"/>
    <x v="55"/>
    <x v="9"/>
    <x v="0"/>
    <x v="12"/>
    <x v="3"/>
    <n v="4"/>
    <x v="57"/>
    <x v="4"/>
    <x v="60"/>
    <x v="53"/>
    <x v="62"/>
    <x v="2"/>
    <x v="0"/>
    <x v="0"/>
    <x v="0"/>
    <x v="0"/>
    <x v="0"/>
  </r>
  <r>
    <x v="64"/>
    <x v="57"/>
    <x v="1"/>
    <x v="0"/>
    <x v="0"/>
    <x v="12"/>
    <x v="3"/>
    <n v="3"/>
    <x v="58"/>
    <x v="3"/>
    <x v="61"/>
    <x v="54"/>
    <x v="63"/>
    <x v="0"/>
    <x v="4"/>
    <x v="0"/>
    <x v="0"/>
    <x v="0"/>
    <x v="0"/>
  </r>
  <r>
    <x v="65"/>
    <x v="26"/>
    <x v="2"/>
    <x v="4"/>
    <x v="0"/>
    <x v="13"/>
    <x v="2"/>
    <n v="4"/>
    <x v="59"/>
    <x v="3"/>
    <x v="62"/>
    <x v="55"/>
    <x v="64"/>
    <x v="2"/>
    <x v="4"/>
    <x v="0"/>
    <x v="0"/>
    <x v="0"/>
    <x v="0"/>
  </r>
  <r>
    <x v="66"/>
    <x v="58"/>
    <x v="0"/>
    <x v="1"/>
    <x v="0"/>
    <x v="12"/>
    <x v="3"/>
    <n v="3"/>
    <x v="60"/>
    <x v="4"/>
    <x v="63"/>
    <x v="56"/>
    <x v="65"/>
    <x v="1"/>
    <x v="3"/>
    <x v="0"/>
    <x v="1"/>
    <x v="0"/>
    <x v="0"/>
  </r>
  <r>
    <x v="67"/>
    <x v="21"/>
    <x v="56"/>
    <x v="7"/>
    <x v="3"/>
    <x v="13"/>
    <x v="2"/>
    <n v="4"/>
    <x v="61"/>
    <x v="1"/>
    <x v="64"/>
    <x v="57"/>
    <x v="66"/>
    <x v="1"/>
    <x v="2"/>
    <x v="0"/>
    <x v="3"/>
    <x v="0"/>
    <x v="0"/>
  </r>
  <r>
    <x v="68"/>
    <x v="59"/>
    <x v="57"/>
    <x v="4"/>
    <x v="0"/>
    <x v="13"/>
    <x v="2"/>
    <n v="1"/>
    <x v="62"/>
    <x v="1"/>
    <x v="65"/>
    <x v="58"/>
    <x v="67"/>
    <x v="1"/>
    <x v="1"/>
    <x v="2"/>
    <x v="4"/>
    <x v="0"/>
    <x v="0"/>
  </r>
  <r>
    <x v="69"/>
    <x v="60"/>
    <x v="58"/>
    <x v="7"/>
    <x v="3"/>
    <x v="14"/>
    <x v="3"/>
    <n v="5"/>
    <x v="63"/>
    <x v="2"/>
    <x v="66"/>
    <x v="3"/>
    <x v="68"/>
    <x v="2"/>
    <x v="4"/>
    <x v="0"/>
    <x v="3"/>
    <x v="0"/>
    <x v="1"/>
  </r>
  <r>
    <x v="70"/>
    <x v="61"/>
    <x v="55"/>
    <x v="1"/>
    <x v="0"/>
    <x v="14"/>
    <x v="3"/>
    <n v="5"/>
    <x v="64"/>
    <x v="2"/>
    <x v="67"/>
    <x v="3"/>
    <x v="69"/>
    <x v="2"/>
    <x v="3"/>
    <x v="0"/>
    <x v="1"/>
    <x v="0"/>
    <x v="1"/>
  </r>
  <r>
    <x v="71"/>
    <x v="62"/>
    <x v="59"/>
    <x v="0"/>
    <x v="0"/>
    <x v="14"/>
    <x v="3"/>
    <n v="3"/>
    <x v="65"/>
    <x v="4"/>
    <x v="68"/>
    <x v="59"/>
    <x v="70"/>
    <x v="2"/>
    <x v="4"/>
    <x v="0"/>
    <x v="0"/>
    <x v="0"/>
    <x v="0"/>
  </r>
  <r>
    <x v="72"/>
    <x v="47"/>
    <x v="47"/>
    <x v="4"/>
    <x v="0"/>
    <x v="15"/>
    <x v="2"/>
    <n v="5"/>
    <x v="66"/>
    <x v="4"/>
    <x v="69"/>
    <x v="60"/>
    <x v="71"/>
    <x v="2"/>
    <x v="3"/>
    <x v="0"/>
    <x v="3"/>
    <x v="0"/>
    <x v="1"/>
  </r>
  <r>
    <x v="73"/>
    <x v="63"/>
    <x v="60"/>
    <x v="5"/>
    <x v="2"/>
    <x v="14"/>
    <x v="3"/>
    <n v="1"/>
    <x v="67"/>
    <x v="1"/>
    <x v="70"/>
    <x v="61"/>
    <x v="72"/>
    <x v="1"/>
    <x v="0"/>
    <x v="0"/>
    <x v="2"/>
    <x v="0"/>
    <x v="0"/>
  </r>
  <r>
    <x v="74"/>
    <x v="14"/>
    <x v="51"/>
    <x v="4"/>
    <x v="0"/>
    <x v="14"/>
    <x v="3"/>
    <n v="2"/>
    <x v="68"/>
    <x v="2"/>
    <x v="71"/>
    <x v="3"/>
    <x v="73"/>
    <x v="1"/>
    <x v="0"/>
    <x v="0"/>
    <x v="4"/>
    <x v="0"/>
    <x v="0"/>
  </r>
  <r>
    <x v="75"/>
    <x v="64"/>
    <x v="53"/>
    <x v="3"/>
    <x v="1"/>
    <x v="15"/>
    <x v="2"/>
    <n v="2"/>
    <x v="69"/>
    <x v="1"/>
    <x v="72"/>
    <x v="62"/>
    <x v="74"/>
    <x v="0"/>
    <x v="4"/>
    <x v="0"/>
    <x v="4"/>
    <x v="0"/>
    <x v="0"/>
  </r>
  <r>
    <x v="76"/>
    <x v="13"/>
    <x v="61"/>
    <x v="6"/>
    <x v="0"/>
    <x v="14"/>
    <x v="3"/>
    <n v="1"/>
    <x v="70"/>
    <x v="0"/>
    <x v="73"/>
    <x v="63"/>
    <x v="75"/>
    <x v="1"/>
    <x v="3"/>
    <x v="0"/>
    <x v="2"/>
    <x v="0"/>
    <x v="0"/>
  </r>
  <r>
    <x v="77"/>
    <x v="10"/>
    <x v="31"/>
    <x v="1"/>
    <x v="0"/>
    <x v="15"/>
    <x v="2"/>
    <n v="1"/>
    <x v="71"/>
    <x v="0"/>
    <x v="74"/>
    <x v="64"/>
    <x v="76"/>
    <x v="0"/>
    <x v="4"/>
    <x v="0"/>
    <x v="2"/>
    <x v="0"/>
    <x v="0"/>
  </r>
  <r>
    <x v="78"/>
    <x v="65"/>
    <x v="62"/>
    <x v="2"/>
    <x v="0"/>
    <x v="16"/>
    <x v="2"/>
    <n v="4"/>
    <x v="72"/>
    <x v="3"/>
    <x v="75"/>
    <x v="65"/>
    <x v="77"/>
    <x v="2"/>
    <x v="2"/>
    <x v="0"/>
    <x v="0"/>
    <x v="0"/>
    <x v="1"/>
  </r>
  <r>
    <x v="79"/>
    <x v="66"/>
    <x v="23"/>
    <x v="0"/>
    <x v="0"/>
    <x v="16"/>
    <x v="2"/>
    <n v="2"/>
    <x v="73"/>
    <x v="2"/>
    <x v="76"/>
    <x v="3"/>
    <x v="78"/>
    <x v="0"/>
    <x v="2"/>
    <x v="1"/>
    <x v="0"/>
    <x v="0"/>
    <x v="0"/>
  </r>
  <r>
    <x v="80"/>
    <x v="67"/>
    <x v="63"/>
    <x v="0"/>
    <x v="0"/>
    <x v="16"/>
    <x v="2"/>
    <n v="3"/>
    <x v="74"/>
    <x v="2"/>
    <x v="77"/>
    <x v="3"/>
    <x v="79"/>
    <x v="2"/>
    <x v="3"/>
    <x v="0"/>
    <x v="1"/>
    <x v="0"/>
    <x v="1"/>
  </r>
  <r>
    <x v="81"/>
    <x v="67"/>
    <x v="1"/>
    <x v="3"/>
    <x v="1"/>
    <x v="16"/>
    <x v="2"/>
    <n v="5"/>
    <x v="75"/>
    <x v="2"/>
    <x v="78"/>
    <x v="3"/>
    <x v="80"/>
    <x v="2"/>
    <x v="1"/>
    <x v="0"/>
    <x v="2"/>
    <x v="1"/>
    <x v="2"/>
  </r>
  <r>
    <x v="82"/>
    <x v="68"/>
    <x v="21"/>
    <x v="2"/>
    <x v="0"/>
    <x v="16"/>
    <x v="2"/>
    <n v="1"/>
    <x v="76"/>
    <x v="1"/>
    <x v="79"/>
    <x v="66"/>
    <x v="81"/>
    <x v="1"/>
    <x v="2"/>
    <x v="0"/>
    <x v="3"/>
    <x v="0"/>
    <x v="0"/>
  </r>
  <r>
    <x v="83"/>
    <x v="16"/>
    <x v="64"/>
    <x v="3"/>
    <x v="1"/>
    <x v="16"/>
    <x v="2"/>
    <n v="3"/>
    <x v="77"/>
    <x v="4"/>
    <x v="80"/>
    <x v="67"/>
    <x v="82"/>
    <x v="0"/>
    <x v="0"/>
    <x v="0"/>
    <x v="3"/>
    <x v="0"/>
    <x v="1"/>
  </r>
  <r>
    <x v="84"/>
    <x v="63"/>
    <x v="65"/>
    <x v="4"/>
    <x v="0"/>
    <x v="17"/>
    <x v="2"/>
    <n v="2"/>
    <x v="78"/>
    <x v="3"/>
    <x v="81"/>
    <x v="68"/>
    <x v="83"/>
    <x v="2"/>
    <x v="2"/>
    <x v="0"/>
    <x v="0"/>
    <x v="0"/>
    <x v="1"/>
  </r>
  <r>
    <x v="85"/>
    <x v="69"/>
    <x v="66"/>
    <x v="8"/>
    <x v="4"/>
    <x v="17"/>
    <x v="2"/>
    <n v="4"/>
    <x v="79"/>
    <x v="0"/>
    <x v="82"/>
    <x v="69"/>
    <x v="84"/>
    <x v="0"/>
    <x v="2"/>
    <x v="0"/>
    <x v="1"/>
    <x v="1"/>
    <x v="2"/>
  </r>
  <r>
    <x v="86"/>
    <x v="70"/>
    <x v="40"/>
    <x v="9"/>
    <x v="0"/>
    <x v="17"/>
    <x v="2"/>
    <n v="5"/>
    <x v="80"/>
    <x v="4"/>
    <x v="83"/>
    <x v="70"/>
    <x v="85"/>
    <x v="2"/>
    <x v="3"/>
    <x v="0"/>
    <x v="2"/>
    <x v="1"/>
    <x v="2"/>
  </r>
  <r>
    <x v="87"/>
    <x v="71"/>
    <x v="67"/>
    <x v="0"/>
    <x v="0"/>
    <x v="17"/>
    <x v="2"/>
    <n v="2"/>
    <x v="81"/>
    <x v="3"/>
    <x v="84"/>
    <x v="71"/>
    <x v="86"/>
    <x v="0"/>
    <x v="2"/>
    <x v="0"/>
    <x v="4"/>
    <x v="0"/>
    <x v="1"/>
  </r>
  <r>
    <x v="88"/>
    <x v="72"/>
    <x v="68"/>
    <x v="8"/>
    <x v="4"/>
    <x v="18"/>
    <x v="2"/>
    <n v="5"/>
    <x v="82"/>
    <x v="2"/>
    <x v="85"/>
    <x v="3"/>
    <x v="87"/>
    <x v="1"/>
    <x v="3"/>
    <x v="0"/>
    <x v="1"/>
    <x v="1"/>
    <x v="2"/>
  </r>
  <r>
    <x v="89"/>
    <x v="73"/>
    <x v="13"/>
    <x v="5"/>
    <x v="2"/>
    <x v="18"/>
    <x v="2"/>
    <n v="2"/>
    <x v="83"/>
    <x v="3"/>
    <x v="86"/>
    <x v="72"/>
    <x v="88"/>
    <x v="2"/>
    <x v="1"/>
    <x v="0"/>
    <x v="0"/>
    <x v="0"/>
    <x v="1"/>
  </r>
  <r>
    <x v="90"/>
    <x v="74"/>
    <x v="69"/>
    <x v="5"/>
    <x v="2"/>
    <x v="18"/>
    <x v="2"/>
    <n v="2"/>
    <x v="84"/>
    <x v="1"/>
    <x v="87"/>
    <x v="73"/>
    <x v="89"/>
    <x v="0"/>
    <x v="2"/>
    <x v="0"/>
    <x v="2"/>
    <x v="0"/>
    <x v="1"/>
  </r>
  <r>
    <x v="91"/>
    <x v="75"/>
    <x v="70"/>
    <x v="2"/>
    <x v="0"/>
    <x v="19"/>
    <x v="2"/>
    <n v="3"/>
    <x v="85"/>
    <x v="4"/>
    <x v="88"/>
    <x v="74"/>
    <x v="90"/>
    <x v="1"/>
    <x v="2"/>
    <x v="0"/>
    <x v="2"/>
    <x v="1"/>
    <x v="2"/>
  </r>
  <r>
    <x v="92"/>
    <x v="76"/>
    <x v="71"/>
    <x v="8"/>
    <x v="4"/>
    <x v="19"/>
    <x v="2"/>
    <n v="1"/>
    <x v="86"/>
    <x v="1"/>
    <x v="89"/>
    <x v="75"/>
    <x v="91"/>
    <x v="0"/>
    <x v="3"/>
    <x v="0"/>
    <x v="0"/>
    <x v="0"/>
    <x v="1"/>
  </r>
  <r>
    <x v="93"/>
    <x v="77"/>
    <x v="72"/>
    <x v="3"/>
    <x v="1"/>
    <x v="19"/>
    <x v="2"/>
    <n v="5"/>
    <x v="87"/>
    <x v="4"/>
    <x v="90"/>
    <x v="76"/>
    <x v="92"/>
    <x v="1"/>
    <x v="0"/>
    <x v="2"/>
    <x v="3"/>
    <x v="1"/>
    <x v="2"/>
  </r>
  <r>
    <x v="94"/>
    <x v="78"/>
    <x v="11"/>
    <x v="8"/>
    <x v="4"/>
    <x v="19"/>
    <x v="2"/>
    <n v="2"/>
    <x v="88"/>
    <x v="4"/>
    <x v="91"/>
    <x v="77"/>
    <x v="93"/>
    <x v="1"/>
    <x v="2"/>
    <x v="0"/>
    <x v="2"/>
    <x v="1"/>
    <x v="2"/>
  </r>
  <r>
    <x v="95"/>
    <x v="79"/>
    <x v="73"/>
    <x v="3"/>
    <x v="1"/>
    <x v="19"/>
    <x v="2"/>
    <n v="4"/>
    <x v="89"/>
    <x v="2"/>
    <x v="92"/>
    <x v="3"/>
    <x v="94"/>
    <x v="2"/>
    <x v="4"/>
    <x v="0"/>
    <x v="1"/>
    <x v="1"/>
    <x v="2"/>
  </r>
  <r>
    <x v="96"/>
    <x v="38"/>
    <x v="53"/>
    <x v="0"/>
    <x v="0"/>
    <x v="19"/>
    <x v="2"/>
    <n v="2"/>
    <x v="90"/>
    <x v="0"/>
    <x v="93"/>
    <x v="78"/>
    <x v="95"/>
    <x v="2"/>
    <x v="2"/>
    <x v="0"/>
    <x v="2"/>
    <x v="1"/>
    <x v="2"/>
  </r>
  <r>
    <x v="97"/>
    <x v="80"/>
    <x v="65"/>
    <x v="4"/>
    <x v="0"/>
    <x v="19"/>
    <x v="2"/>
    <n v="3"/>
    <x v="91"/>
    <x v="0"/>
    <x v="94"/>
    <x v="79"/>
    <x v="96"/>
    <x v="1"/>
    <x v="4"/>
    <x v="0"/>
    <x v="2"/>
    <x v="1"/>
    <x v="2"/>
  </r>
  <r>
    <x v="98"/>
    <x v="81"/>
    <x v="11"/>
    <x v="1"/>
    <x v="0"/>
    <x v="19"/>
    <x v="2"/>
    <n v="4"/>
    <x v="92"/>
    <x v="4"/>
    <x v="95"/>
    <x v="80"/>
    <x v="97"/>
    <x v="0"/>
    <x v="3"/>
    <x v="0"/>
    <x v="1"/>
    <x v="1"/>
    <x v="2"/>
  </r>
  <r>
    <x v="99"/>
    <x v="40"/>
    <x v="74"/>
    <x v="3"/>
    <x v="1"/>
    <x v="19"/>
    <x v="2"/>
    <n v="5"/>
    <x v="93"/>
    <x v="2"/>
    <x v="96"/>
    <x v="3"/>
    <x v="98"/>
    <x v="2"/>
    <x v="2"/>
    <x v="0"/>
    <x v="3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704B0-0572-4E3E-8596-EC52394ECF24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26:N40" firstHeaderRow="0" firstDataRow="1" firstDataCol="1"/>
  <pivotFields count="21">
    <pivotField showAll="0"/>
    <pivotField numFmtId="164" showAll="0">
      <items count="83">
        <item x="55"/>
        <item x="63"/>
        <item x="28"/>
        <item x="60"/>
        <item x="9"/>
        <item x="20"/>
        <item x="78"/>
        <item x="79"/>
        <item x="70"/>
        <item x="22"/>
        <item x="44"/>
        <item x="26"/>
        <item x="80"/>
        <item x="53"/>
        <item x="46"/>
        <item x="5"/>
        <item x="27"/>
        <item x="36"/>
        <item x="40"/>
        <item x="66"/>
        <item x="65"/>
        <item x="32"/>
        <item x="23"/>
        <item x="1"/>
        <item x="30"/>
        <item x="38"/>
        <item x="13"/>
        <item x="69"/>
        <item x="51"/>
        <item x="10"/>
        <item x="14"/>
        <item x="11"/>
        <item x="19"/>
        <item x="58"/>
        <item x="31"/>
        <item x="3"/>
        <item x="43"/>
        <item x="57"/>
        <item x="72"/>
        <item x="47"/>
        <item x="81"/>
        <item x="2"/>
        <item x="15"/>
        <item x="62"/>
        <item x="21"/>
        <item x="16"/>
        <item x="33"/>
        <item x="24"/>
        <item x="39"/>
        <item x="41"/>
        <item x="50"/>
        <item x="29"/>
        <item x="48"/>
        <item x="68"/>
        <item x="4"/>
        <item x="45"/>
        <item x="7"/>
        <item x="56"/>
        <item x="49"/>
        <item x="0"/>
        <item x="76"/>
        <item x="8"/>
        <item x="52"/>
        <item x="67"/>
        <item x="12"/>
        <item x="61"/>
        <item x="75"/>
        <item x="54"/>
        <item x="73"/>
        <item x="37"/>
        <item x="25"/>
        <item x="64"/>
        <item x="34"/>
        <item x="59"/>
        <item x="6"/>
        <item x="77"/>
        <item x="17"/>
        <item x="42"/>
        <item x="35"/>
        <item x="71"/>
        <item x="74"/>
        <item x="18"/>
        <item t="default"/>
      </items>
    </pivotField>
    <pivotField axis="axisRow" showAll="0">
      <items count="76">
        <item x="69"/>
        <item x="33"/>
        <item h="1" x="62"/>
        <item h="1" x="44"/>
        <item h="1" x="16"/>
        <item h="1" x="36"/>
        <item h="1" x="34"/>
        <item x="26"/>
        <item x="14"/>
        <item x="56"/>
        <item x="53"/>
        <item x="5"/>
        <item x="32"/>
        <item h="1" x="6"/>
        <item h="1" x="25"/>
        <item h="1" x="47"/>
        <item h="1" x="12"/>
        <item h="1" x="13"/>
        <item h="1" x="68"/>
        <item h="1" x="72"/>
        <item h="1" x="30"/>
        <item h="1" x="50"/>
        <item h="1" x="21"/>
        <item h="1" x="23"/>
        <item h="1" x="18"/>
        <item h="1" x="0"/>
        <item h="1" x="31"/>
        <item h="1" x="20"/>
        <item h="1" x="61"/>
        <item h="1" x="7"/>
        <item h="1" x="60"/>
        <item h="1" x="65"/>
        <item h="1" x="9"/>
        <item h="1" x="46"/>
        <item h="1" x="70"/>
        <item h="1" x="29"/>
        <item h="1" x="48"/>
        <item h="1" x="15"/>
        <item h="1" x="2"/>
        <item h="1" x="66"/>
        <item h="1" x="41"/>
        <item h="1" x="59"/>
        <item h="1" x="42"/>
        <item h="1" x="74"/>
        <item h="1" x="17"/>
        <item h="1" x="40"/>
        <item h="1" x="3"/>
        <item h="1" x="57"/>
        <item h="1" x="58"/>
        <item h="1" x="4"/>
        <item h="1" x="54"/>
        <item h="1" x="55"/>
        <item h="1" x="22"/>
        <item h="1" x="73"/>
        <item h="1" x="67"/>
        <item h="1" x="52"/>
        <item h="1" x="24"/>
        <item h="1" x="38"/>
        <item h="1" x="10"/>
        <item h="1" x="1"/>
        <item h="1" x="64"/>
        <item h="1" x="71"/>
        <item h="1" x="39"/>
        <item h="1" x="51"/>
        <item h="1" x="28"/>
        <item h="1" x="27"/>
        <item h="1" x="49"/>
        <item h="1" x="45"/>
        <item h="1" x="35"/>
        <item h="1" x="19"/>
        <item h="1" x="43"/>
        <item h="1" x="11"/>
        <item h="1" x="37"/>
        <item h="1" x="63"/>
        <item h="1" x="8"/>
        <item t="default"/>
      </items>
    </pivotField>
    <pivotField axis="axisRow" showAll="0">
      <items count="11">
        <item h="1" x="0"/>
        <item h="1" x="7"/>
        <item x="5"/>
        <item x="8"/>
        <item x="9"/>
        <item x="2"/>
        <item h="1" x="1"/>
        <item h="1" x="3"/>
        <item x="4"/>
        <item x="6"/>
        <item t="default"/>
      </items>
    </pivotField>
    <pivotField axis="axisRow" showAll="0">
      <items count="6">
        <item x="1"/>
        <item x="2"/>
        <item h="1" x="3"/>
        <item x="4"/>
        <item x="0"/>
        <item t="default"/>
      </items>
    </pivotField>
    <pivotField axis="axisRow" showAll="0">
      <items count="21">
        <item x="7"/>
        <item x="2"/>
        <item x="12"/>
        <item x="13"/>
        <item x="8"/>
        <item x="5"/>
        <item x="19"/>
        <item x="16"/>
        <item x="3"/>
        <item x="0"/>
        <item x="14"/>
        <item x="1"/>
        <item x="6"/>
        <item x="15"/>
        <item x="18"/>
        <item x="11"/>
        <item x="10"/>
        <item x="17"/>
        <item x="4"/>
        <item x="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dataField="1" showAll="0"/>
    <pivotField dataField="1" showAll="0">
      <items count="95">
        <item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t="default"/>
      </items>
    </pivotField>
    <pivotField dataField="1" showAll="0">
      <items count="6">
        <item h="1" x="2"/>
        <item x="4"/>
        <item x="0"/>
        <item h="1" x="1"/>
        <item x="3"/>
        <item t="default"/>
      </items>
    </pivotField>
    <pivotField dataField="1" showAll="0">
      <items count="98">
        <item x="3"/>
        <item x="4"/>
        <item x="8"/>
        <item h="1" x="2"/>
        <item h="1" x="7"/>
        <item h="1" x="10"/>
        <item h="1" x="12"/>
        <item h="1" x="0"/>
        <item h="1" x="5"/>
        <item h="1" x="1"/>
        <item h="1" x="20"/>
        <item h="1" x="9"/>
        <item h="1" x="11"/>
        <item h="1" x="6"/>
        <item h="1" x="14"/>
        <item h="1" x="15"/>
        <item h="1" x="28"/>
        <item h="1" x="29"/>
        <item h="1" x="30"/>
        <item h="1" x="33"/>
        <item h="1" x="35"/>
        <item h="1" x="13"/>
        <item h="1" x="23"/>
        <item h="1" x="38"/>
        <item h="1" x="18"/>
        <item h="1" x="26"/>
        <item h="1" x="16"/>
        <item h="1" x="27"/>
        <item h="1" x="17"/>
        <item h="1" x="46"/>
        <item h="1" x="48"/>
        <item h="1" x="32"/>
        <item h="1" x="19"/>
        <item h="1" x="36"/>
        <item h="1" x="37"/>
        <item h="1" x="53"/>
        <item h="1" x="22"/>
        <item h="1" x="21"/>
        <item h="1" x="24"/>
        <item h="1" x="57"/>
        <item h="1" x="40"/>
        <item h="1" x="43"/>
        <item h="1" x="25"/>
        <item h="1" x="31"/>
        <item h="1" x="34"/>
        <item h="1" x="65"/>
        <item h="1" x="39"/>
        <item h="1" x="52"/>
        <item h="1" x="54"/>
        <item h="1" x="70"/>
        <item h="1" x="73"/>
        <item h="1" x="55"/>
        <item h="1" x="45"/>
        <item h="1" x="56"/>
        <item h="1" x="47"/>
        <item h="1" x="74"/>
        <item h="1" x="50"/>
        <item h="1" x="41"/>
        <item h="1" x="44"/>
        <item h="1" x="79"/>
        <item h="1" x="49"/>
        <item h="1" x="42"/>
        <item h="1" x="71"/>
        <item h="1" x="72"/>
        <item h="1" x="61"/>
        <item h="1" x="58"/>
        <item h="1" x="63"/>
        <item h="1" x="51"/>
        <item h="1" x="76"/>
        <item h="1" x="68"/>
        <item h="1" x="60"/>
        <item h="1" x="62"/>
        <item h="1" x="64"/>
        <item h="1" x="59"/>
        <item h="1" x="77"/>
        <item h="1" x="81"/>
        <item h="1" x="80"/>
        <item h="1" x="84"/>
        <item h="1" x="66"/>
        <item h="1" x="67"/>
        <item h="1" x="69"/>
        <item h="1" x="75"/>
        <item h="1" x="86"/>
        <item h="1" x="89"/>
        <item h="1" x="87"/>
        <item h="1" x="78"/>
        <item h="1" x="82"/>
        <item h="1" x="83"/>
        <item h="1" x="91"/>
        <item h="1" x="93"/>
        <item h="1" x="85"/>
        <item h="1" x="88"/>
        <item h="1" x="94"/>
        <item h="1" x="92"/>
        <item h="1" x="95"/>
        <item h="1" x="90"/>
        <item h="1" x="96"/>
        <item t="default"/>
      </items>
    </pivotField>
    <pivotField dataField="1" showAll="0">
      <items count="82">
        <item h="1" x="3"/>
        <item x="4"/>
        <item x="8"/>
        <item x="2"/>
        <item x="20"/>
        <item x="9"/>
        <item h="1" x="0"/>
        <item h="1" x="15"/>
        <item h="1" x="5"/>
        <item h="1" x="16"/>
        <item h="1" x="27"/>
        <item h="1" x="31"/>
        <item h="1" x="13"/>
        <item h="1" x="7"/>
        <item h="1" x="11"/>
        <item h="1" x="12"/>
        <item h="1" x="1"/>
        <item h="1" x="17"/>
        <item h="1" x="10"/>
        <item h="1" x="28"/>
        <item h="1" x="33"/>
        <item h="1" x="14"/>
        <item h="1" x="6"/>
        <item h="1" x="25"/>
        <item h="1" x="42"/>
        <item h="1" x="29"/>
        <item h="1" x="30"/>
        <item h="1" x="34"/>
        <item h="1" x="18"/>
        <item h="1" x="22"/>
        <item h="1" x="47"/>
        <item h="1" x="21"/>
        <item h="1" x="26"/>
        <item h="1" x="39"/>
        <item h="1" x="50"/>
        <item h="1" x="19"/>
        <item h="1" x="44"/>
        <item h="1" x="40"/>
        <item h="1" x="46"/>
        <item h="1" x="24"/>
        <item h="1" x="43"/>
        <item h="1" x="35"/>
        <item h="1" x="63"/>
        <item h="1" x="23"/>
        <item h="1" x="51"/>
        <item h="1" x="56"/>
        <item h="1" x="64"/>
        <item h="1" x="32"/>
        <item h="1" x="58"/>
        <item h="1" x="37"/>
        <item h="1" x="59"/>
        <item h="1" x="53"/>
        <item h="1" x="61"/>
        <item h="1" x="41"/>
        <item h="1" x="66"/>
        <item h="1" x="48"/>
        <item h="1" x="67"/>
        <item h="1" x="49"/>
        <item h="1" x="45"/>
        <item h="1" x="60"/>
        <item h="1" x="38"/>
        <item h="1" x="62"/>
        <item h="1" x="36"/>
        <item h="1" x="54"/>
        <item h="1" x="57"/>
        <item h="1" x="70"/>
        <item h="1" x="52"/>
        <item h="1" x="55"/>
        <item h="1" x="77"/>
        <item h="1" x="68"/>
        <item h="1" x="69"/>
        <item h="1" x="71"/>
        <item h="1" x="74"/>
        <item h="1" x="75"/>
        <item h="1" x="73"/>
        <item h="1" x="65"/>
        <item h="1" x="72"/>
        <item h="1" x="78"/>
        <item h="1" x="80"/>
        <item h="1" x="76"/>
        <item h="1" x="79"/>
        <item t="default"/>
      </items>
    </pivotField>
    <pivotField dataField="1" showAll="0">
      <items count="100">
        <item x="4"/>
        <item x="3"/>
        <item x="8"/>
        <item x="2"/>
        <item x="7"/>
        <item h="1" x="11"/>
        <item h="1" x="13"/>
        <item h="1" x="14"/>
        <item h="1" x="0"/>
        <item h="1" x="5"/>
        <item h="1" x="1"/>
        <item h="1" x="22"/>
        <item h="1" x="10"/>
        <item h="1" x="6"/>
        <item h="1" x="9"/>
        <item h="1" x="12"/>
        <item h="1" x="16"/>
        <item h="1" x="32"/>
        <item h="1" x="17"/>
        <item h="1" x="31"/>
        <item h="1" x="30"/>
        <item h="1" x="37"/>
        <item h="1" x="35"/>
        <item h="1" x="15"/>
        <item h="1" x="20"/>
        <item h="1" x="25"/>
        <item h="1" x="40"/>
        <item h="1" x="48"/>
        <item h="1" x="29"/>
        <item h="1" x="28"/>
        <item h="1" x="19"/>
        <item h="1" x="50"/>
        <item h="1" x="21"/>
        <item h="1" x="18"/>
        <item h="1" x="34"/>
        <item h="1" x="38"/>
        <item h="1" x="55"/>
        <item h="1" x="26"/>
        <item h="1" x="39"/>
        <item h="1" x="24"/>
        <item h="1" x="23"/>
        <item h="1" x="59"/>
        <item h="1" x="45"/>
        <item h="1" x="42"/>
        <item h="1" x="27"/>
        <item h="1" x="36"/>
        <item h="1" x="67"/>
        <item h="1" x="33"/>
        <item h="1" x="41"/>
        <item h="1" x="57"/>
        <item h="1" x="72"/>
        <item h="1" x="58"/>
        <item h="1" x="49"/>
        <item h="1" x="75"/>
        <item h="1" x="54"/>
        <item h="1" x="56"/>
        <item h="1" x="47"/>
        <item h="1" x="76"/>
        <item h="1" x="46"/>
        <item h="1" x="52"/>
        <item h="1" x="81"/>
        <item h="1" x="43"/>
        <item h="1" x="44"/>
        <item h="1" x="51"/>
        <item h="1" x="74"/>
        <item h="1" x="63"/>
        <item h="1" x="73"/>
        <item h="1" x="53"/>
        <item h="1" x="60"/>
        <item h="1" x="65"/>
        <item h="1" x="64"/>
        <item h="1" x="78"/>
        <item h="1" x="66"/>
        <item h="1" x="70"/>
        <item h="1" x="62"/>
        <item h="1" x="61"/>
        <item h="1" x="83"/>
        <item h="1" x="86"/>
        <item h="1" x="79"/>
        <item h="1" x="82"/>
        <item h="1" x="77"/>
        <item h="1" x="68"/>
        <item h="1" x="88"/>
        <item h="1" x="69"/>
        <item h="1" x="71"/>
        <item h="1" x="91"/>
        <item h="1" x="89"/>
        <item h="1" x="80"/>
        <item h="1" x="84"/>
        <item h="1" x="85"/>
        <item h="1" x="93"/>
        <item h="1" x="95"/>
        <item h="1" x="87"/>
        <item h="1" x="90"/>
        <item h="1" x="96"/>
        <item h="1" x="97"/>
        <item h="1" x="94"/>
        <item h="1" x="92"/>
        <item h="1" x="98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6">
        <item x="3"/>
        <item x="0"/>
        <item x="1"/>
        <item x="2"/>
        <item x="4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6">
        <item x="2"/>
        <item x="4"/>
        <item x="1"/>
        <item x="3"/>
        <item x="0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Row" showAll="0" defaultSubtotal="0">
      <items count="368">
        <item x="0"/>
        <item x="1"/>
        <item x="2"/>
        <item x="3"/>
        <item x="4"/>
        <item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x="33"/>
        <item x="34"/>
        <item x="35"/>
        <item h="1" x="36"/>
        <item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x="63"/>
        <item h="1" x="64"/>
        <item x="65"/>
        <item x="66"/>
        <item x="67"/>
        <item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h="1" x="85"/>
        <item h="1" x="86"/>
        <item h="1" x="87"/>
        <item h="1" x="88"/>
        <item h="1" x="89"/>
        <item x="90"/>
        <item h="1" x="91"/>
        <item x="92"/>
        <item x="93"/>
        <item x="94"/>
        <item x="95"/>
        <item h="1" x="96"/>
        <item h="1" x="97"/>
        <item h="1" x="98"/>
        <item h="1" x="99"/>
        <item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x="129"/>
        <item x="130"/>
        <item x="131"/>
        <item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x="150"/>
        <item x="151"/>
        <item h="1" x="152"/>
        <item h="1" x="153"/>
        <item h="1" x="154"/>
        <item h="1" x="155"/>
        <item x="156"/>
        <item h="1" x="157"/>
        <item x="158"/>
        <item h="1" x="159"/>
        <item h="1" x="160"/>
        <item h="1" x="161"/>
        <item x="162"/>
        <item x="163"/>
        <item x="164"/>
        <item x="165"/>
        <item h="1" x="166"/>
        <item x="167"/>
        <item h="1" x="168"/>
        <item h="1" x="169"/>
        <item h="1" x="170"/>
        <item h="1" x="171"/>
        <item h="1" x="172"/>
        <item h="1" x="173"/>
        <item h="1" x="174"/>
        <item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x="190"/>
        <item x="191"/>
        <item x="192"/>
        <item x="193"/>
        <item h="1" x="194"/>
        <item h="1" x="195"/>
        <item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x="231"/>
        <item x="232"/>
        <item x="233"/>
        <item x="234"/>
        <item x="235"/>
        <item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x="251"/>
        <item x="252"/>
        <item x="253"/>
        <item x="254"/>
        <item x="255"/>
        <item x="256"/>
        <item h="1" x="257"/>
        <item h="1" x="258"/>
        <item h="1" x="259"/>
        <item h="1" x="260"/>
        <item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</items>
    </pivotField>
    <pivotField axis="axisRow" showAll="0" defaultSubtotal="0">
      <items count="14"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3">
    <field x="2"/>
    <field x="3"/>
    <field x="4"/>
    <field x="5"/>
    <field x="6"/>
    <field x="13"/>
    <field x="14"/>
    <field x="15"/>
    <field x="16"/>
    <field x="17"/>
    <field x="18"/>
    <field x="19"/>
    <field x="20"/>
  </rowFields>
  <rowItems count="14">
    <i>
      <x v="10"/>
    </i>
    <i r="1">
      <x v="2"/>
    </i>
    <i r="2">
      <x v="1"/>
    </i>
    <i r="3">
      <x v="15"/>
    </i>
    <i r="4">
      <x v="1"/>
    </i>
    <i r="5">
      <x v="1"/>
    </i>
    <i r="6">
      <x v="4"/>
    </i>
    <i r="7">
      <x v="2"/>
    </i>
    <i r="8">
      <x v="4"/>
    </i>
    <i r="9">
      <x v="1"/>
    </i>
    <i r="10">
      <x v="1"/>
    </i>
    <i r="11">
      <x v="130"/>
    </i>
    <i r="12"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Quantity" fld="7" baseField="0" baseItem="0"/>
    <dataField name="Sum of Unit_Price" fld="8" baseField="0" baseItem="0"/>
    <dataField name="Sum of Discount_%" fld="9" baseField="0" baseItem="0"/>
    <dataField name="Sum of Gross_Sales" fld="10" baseField="0" baseItem="0"/>
    <dataField name="Sum of Discount_Amount" fld="11" baseField="0" baseItem="0"/>
    <dataField name="Sum of Net_Sales" fld="1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C4B70-0455-402E-9632-3172283EDF41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28:C37" firstHeaderRow="1" firstDataRow="1" firstDataCol="1"/>
  <pivotFields count="21">
    <pivotField showAll="0"/>
    <pivotField numFmtId="164" showAll="0">
      <items count="83">
        <item x="55"/>
        <item x="63"/>
        <item x="28"/>
        <item x="60"/>
        <item x="9"/>
        <item x="20"/>
        <item x="78"/>
        <item x="79"/>
        <item x="70"/>
        <item x="22"/>
        <item x="44"/>
        <item x="26"/>
        <item x="80"/>
        <item x="53"/>
        <item x="46"/>
        <item x="5"/>
        <item x="27"/>
        <item x="36"/>
        <item x="40"/>
        <item x="66"/>
        <item x="65"/>
        <item x="32"/>
        <item x="23"/>
        <item x="1"/>
        <item x="30"/>
        <item x="38"/>
        <item x="13"/>
        <item x="69"/>
        <item x="51"/>
        <item x="10"/>
        <item x="14"/>
        <item x="11"/>
        <item x="19"/>
        <item x="58"/>
        <item x="31"/>
        <item x="3"/>
        <item x="43"/>
        <item x="57"/>
        <item x="72"/>
        <item x="47"/>
        <item x="81"/>
        <item x="2"/>
        <item x="15"/>
        <item x="62"/>
        <item x="21"/>
        <item x="16"/>
        <item x="33"/>
        <item x="24"/>
        <item x="39"/>
        <item x="41"/>
        <item x="50"/>
        <item x="29"/>
        <item x="48"/>
        <item x="68"/>
        <item x="4"/>
        <item x="45"/>
        <item x="7"/>
        <item x="56"/>
        <item x="49"/>
        <item x="0"/>
        <item x="76"/>
        <item x="8"/>
        <item x="52"/>
        <item x="67"/>
        <item x="12"/>
        <item x="61"/>
        <item x="75"/>
        <item x="54"/>
        <item x="73"/>
        <item x="37"/>
        <item x="25"/>
        <item x="64"/>
        <item x="34"/>
        <item x="59"/>
        <item x="6"/>
        <item x="77"/>
        <item x="17"/>
        <item x="42"/>
        <item x="35"/>
        <item x="71"/>
        <item x="74"/>
        <item x="18"/>
        <item t="default"/>
      </items>
    </pivotField>
    <pivotField showAll="0"/>
    <pivotField showAll="0"/>
    <pivotField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Net_Sales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3359B-7164-4C87-9A9B-B0F6795EA215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2:S23" firstHeaderRow="0" firstDataRow="1" firstDataCol="1"/>
  <pivotFields count="21">
    <pivotField showAll="0"/>
    <pivotField numFmtId="164" showAll="0">
      <items count="83">
        <item x="55"/>
        <item x="63"/>
        <item x="28"/>
        <item x="60"/>
        <item x="9"/>
        <item x="20"/>
        <item x="78"/>
        <item x="79"/>
        <item x="70"/>
        <item x="22"/>
        <item x="44"/>
        <item x="26"/>
        <item x="80"/>
        <item x="53"/>
        <item x="46"/>
        <item x="5"/>
        <item x="27"/>
        <item x="36"/>
        <item x="40"/>
        <item x="66"/>
        <item x="65"/>
        <item x="32"/>
        <item x="23"/>
        <item x="1"/>
        <item x="30"/>
        <item x="38"/>
        <item x="13"/>
        <item x="69"/>
        <item x="51"/>
        <item x="10"/>
        <item x="14"/>
        <item x="11"/>
        <item x="19"/>
        <item x="58"/>
        <item x="31"/>
        <item x="3"/>
        <item x="43"/>
        <item x="57"/>
        <item x="72"/>
        <item x="47"/>
        <item x="81"/>
        <item x="2"/>
        <item x="15"/>
        <item x="62"/>
        <item x="21"/>
        <item x="16"/>
        <item x="33"/>
        <item x="24"/>
        <item x="39"/>
        <item x="41"/>
        <item x="50"/>
        <item x="29"/>
        <item x="48"/>
        <item x="68"/>
        <item x="4"/>
        <item x="45"/>
        <item x="7"/>
        <item x="56"/>
        <item x="49"/>
        <item x="0"/>
        <item x="76"/>
        <item x="8"/>
        <item x="52"/>
        <item x="67"/>
        <item x="12"/>
        <item x="61"/>
        <item x="75"/>
        <item x="54"/>
        <item x="73"/>
        <item x="37"/>
        <item x="25"/>
        <item x="64"/>
        <item x="34"/>
        <item x="59"/>
        <item x="6"/>
        <item x="77"/>
        <item x="17"/>
        <item x="42"/>
        <item x="35"/>
        <item x="71"/>
        <item x="74"/>
        <item x="18"/>
        <item t="default"/>
      </items>
    </pivotField>
    <pivotField showAll="0"/>
    <pivotField showAll="0"/>
    <pivotField showAll="0"/>
    <pivotField axis="axisRow" showAll="0">
      <items count="21">
        <item x="7"/>
        <item x="2"/>
        <item x="12"/>
        <item x="13"/>
        <item x="8"/>
        <item x="5"/>
        <item x="19"/>
        <item x="16"/>
        <item x="3"/>
        <item x="0"/>
        <item x="14"/>
        <item x="1"/>
        <item x="6"/>
        <item x="15"/>
        <item x="18"/>
        <item x="11"/>
        <item x="10"/>
        <item x="17"/>
        <item x="4"/>
        <item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" fld="12" baseField="0" baseItem="0"/>
    <dataField name="Sum of Gross_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DC3E7-FE1D-4B85-8DE3-476CE2260519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2:M9" firstHeaderRow="0" firstDataRow="1" firstDataCol="1"/>
  <pivotFields count="21">
    <pivotField showAll="0"/>
    <pivotField numFmtId="164" showAll="0">
      <items count="83">
        <item x="55"/>
        <item x="63"/>
        <item x="28"/>
        <item x="60"/>
        <item x="9"/>
        <item x="20"/>
        <item x="78"/>
        <item x="79"/>
        <item x="70"/>
        <item x="22"/>
        <item x="44"/>
        <item x="26"/>
        <item x="80"/>
        <item x="53"/>
        <item x="46"/>
        <item x="5"/>
        <item x="27"/>
        <item x="36"/>
        <item x="40"/>
        <item x="66"/>
        <item x="65"/>
        <item x="32"/>
        <item x="23"/>
        <item x="1"/>
        <item x="30"/>
        <item x="38"/>
        <item x="13"/>
        <item x="69"/>
        <item x="51"/>
        <item x="10"/>
        <item x="14"/>
        <item x="11"/>
        <item x="19"/>
        <item x="58"/>
        <item x="31"/>
        <item x="3"/>
        <item x="43"/>
        <item x="57"/>
        <item x="72"/>
        <item x="47"/>
        <item x="81"/>
        <item x="2"/>
        <item x="15"/>
        <item x="62"/>
        <item x="21"/>
        <item x="16"/>
        <item x="33"/>
        <item x="24"/>
        <item x="39"/>
        <item x="41"/>
        <item x="50"/>
        <item x="29"/>
        <item x="48"/>
        <item x="68"/>
        <item x="4"/>
        <item x="45"/>
        <item x="7"/>
        <item x="56"/>
        <item x="49"/>
        <item x="0"/>
        <item x="76"/>
        <item x="8"/>
        <item x="52"/>
        <item x="67"/>
        <item x="12"/>
        <item x="61"/>
        <item x="75"/>
        <item x="54"/>
        <item x="73"/>
        <item x="37"/>
        <item x="25"/>
        <item x="64"/>
        <item x="34"/>
        <item x="59"/>
        <item x="6"/>
        <item x="77"/>
        <item x="17"/>
        <item x="42"/>
        <item x="35"/>
        <item x="71"/>
        <item x="74"/>
        <item x="18"/>
        <item t="default"/>
      </items>
    </pivotField>
    <pivotField showAll="0"/>
    <pivotField axis="axisRow" showAll="0">
      <items count="11">
        <item h="1" x="0"/>
        <item h="1" x="7"/>
        <item x="5"/>
        <item h="1" x="8"/>
        <item x="9"/>
        <item x="2"/>
        <item x="1"/>
        <item h="1" x="3"/>
        <item x="4"/>
        <item x="6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>
      <items count="21">
        <item x="7"/>
        <item x="2"/>
        <item x="12"/>
        <item x="13"/>
        <item x="8"/>
        <item x="5"/>
        <item x="19"/>
        <item x="16"/>
        <item x="3"/>
        <item x="0"/>
        <item x="14"/>
        <item x="1"/>
        <item x="6"/>
        <item x="15"/>
        <item x="18"/>
        <item x="11"/>
        <item x="10"/>
        <item x="17"/>
        <item x="4"/>
        <item x="9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 v="2"/>
    </i>
    <i>
      <x v="4"/>
    </i>
    <i>
      <x v="5"/>
    </i>
    <i>
      <x v="6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_%" fld="9" baseField="0" baseItem="0"/>
    <dataField name="Sum of Gross_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5F7AB-F93A-47F0-BBB5-9451F0D9D795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2:H9" firstHeaderRow="1" firstDataRow="1" firstDataCol="1"/>
  <pivotFields count="21">
    <pivotField showAll="0"/>
    <pivotField numFmtId="164" showAll="0">
      <items count="83">
        <item x="55"/>
        <item x="63"/>
        <item x="28"/>
        <item x="60"/>
        <item x="9"/>
        <item x="20"/>
        <item x="78"/>
        <item x="79"/>
        <item x="70"/>
        <item x="22"/>
        <item x="44"/>
        <item x="26"/>
        <item x="80"/>
        <item x="53"/>
        <item x="46"/>
        <item x="5"/>
        <item x="27"/>
        <item x="36"/>
        <item x="40"/>
        <item x="66"/>
        <item x="65"/>
        <item x="32"/>
        <item x="23"/>
        <item x="1"/>
        <item x="30"/>
        <item x="38"/>
        <item x="13"/>
        <item x="69"/>
        <item x="51"/>
        <item x="10"/>
        <item x="14"/>
        <item x="11"/>
        <item x="19"/>
        <item x="58"/>
        <item x="31"/>
        <item x="3"/>
        <item x="43"/>
        <item x="57"/>
        <item x="72"/>
        <item x="47"/>
        <item x="81"/>
        <item x="2"/>
        <item x="15"/>
        <item x="62"/>
        <item x="21"/>
        <item x="16"/>
        <item x="33"/>
        <item x="24"/>
        <item x="39"/>
        <item x="41"/>
        <item x="50"/>
        <item x="29"/>
        <item x="48"/>
        <item x="68"/>
        <item x="4"/>
        <item x="45"/>
        <item x="7"/>
        <item x="56"/>
        <item x="49"/>
        <item x="0"/>
        <item x="76"/>
        <item x="8"/>
        <item x="52"/>
        <item x="67"/>
        <item x="12"/>
        <item x="61"/>
        <item x="75"/>
        <item x="54"/>
        <item x="73"/>
        <item x="37"/>
        <item x="25"/>
        <item x="64"/>
        <item x="34"/>
        <item x="59"/>
        <item x="6"/>
        <item x="77"/>
        <item x="17"/>
        <item x="42"/>
        <item x="35"/>
        <item x="71"/>
        <item x="74"/>
        <item x="18"/>
        <item t="default"/>
      </items>
    </pivotField>
    <pivotField axis="axisRow" showAll="0">
      <items count="76">
        <item h="1" x="69"/>
        <item h="1" x="33"/>
        <item h="1" x="62"/>
        <item h="1" x="44"/>
        <item h="1" x="16"/>
        <item x="36"/>
        <item x="34"/>
        <item x="26"/>
        <item x="14"/>
        <item x="56"/>
        <item x="53"/>
        <item h="1" x="5"/>
        <item h="1" x="32"/>
        <item h="1" x="6"/>
        <item h="1" x="25"/>
        <item h="1" x="47"/>
        <item h="1" x="12"/>
        <item h="1" x="13"/>
        <item h="1" x="68"/>
        <item h="1" x="72"/>
        <item h="1" x="30"/>
        <item h="1" x="50"/>
        <item h="1" x="21"/>
        <item h="1" x="23"/>
        <item h="1" x="18"/>
        <item h="1" x="0"/>
        <item h="1" x="31"/>
        <item h="1" x="20"/>
        <item h="1" x="61"/>
        <item h="1" x="7"/>
        <item h="1" x="60"/>
        <item h="1" x="65"/>
        <item h="1" x="9"/>
        <item h="1" x="46"/>
        <item h="1" x="70"/>
        <item h="1" x="29"/>
        <item h="1" x="48"/>
        <item h="1" x="15"/>
        <item h="1" x="2"/>
        <item h="1" x="66"/>
        <item h="1" x="41"/>
        <item h="1" x="59"/>
        <item h="1" x="42"/>
        <item h="1" x="74"/>
        <item h="1" x="17"/>
        <item h="1" x="40"/>
        <item h="1" x="3"/>
        <item h="1" x="57"/>
        <item h="1" x="58"/>
        <item h="1" x="4"/>
        <item h="1" x="54"/>
        <item h="1" x="55"/>
        <item h="1" x="22"/>
        <item h="1" x="73"/>
        <item h="1" x="67"/>
        <item h="1" x="52"/>
        <item h="1" x="24"/>
        <item h="1" x="38"/>
        <item h="1" x="10"/>
        <item h="1" x="1"/>
        <item h="1" x="64"/>
        <item h="1" x="71"/>
        <item h="1" x="39"/>
        <item h="1" x="51"/>
        <item h="1" x="28"/>
        <item h="1" x="27"/>
        <item h="1" x="49"/>
        <item h="1" x="45"/>
        <item h="1" x="35"/>
        <item h="1" x="19"/>
        <item h="1" x="43"/>
        <item h="1" x="11"/>
        <item h="1" x="37"/>
        <item h="1" x="63"/>
        <item h="1" x="8"/>
        <item t="default"/>
      </items>
    </pivotField>
    <pivotField showAll="0">
      <items count="11">
        <item x="0"/>
        <item x="7"/>
        <item x="5"/>
        <item x="8"/>
        <item x="9"/>
        <item x="2"/>
        <item x="1"/>
        <item x="3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7"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Net_Sales" fld="1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CC68A-0359-4110-B44D-F5A1A374164C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:C10" firstHeaderRow="1" firstDataRow="1" firstDataCol="1"/>
  <pivotFields count="21">
    <pivotField showAll="0">
      <items count="101">
        <item x="91"/>
        <item x="84"/>
        <item x="96"/>
        <item x="70"/>
        <item x="69"/>
        <item x="5"/>
        <item x="27"/>
        <item x="87"/>
        <item x="59"/>
        <item x="44"/>
        <item x="47"/>
        <item x="2"/>
        <item x="16"/>
        <item x="42"/>
        <item x="58"/>
        <item x="64"/>
        <item x="81"/>
        <item x="83"/>
        <item x="14"/>
        <item x="36"/>
        <item x="6"/>
        <item x="19"/>
        <item x="9"/>
        <item x="65"/>
        <item x="78"/>
        <item x="53"/>
        <item x="33"/>
        <item x="76"/>
        <item x="23"/>
        <item x="15"/>
        <item x="97"/>
        <item x="54"/>
        <item x="74"/>
        <item x="25"/>
        <item x="10"/>
        <item x="77"/>
        <item x="28"/>
        <item x="49"/>
        <item x="4"/>
        <item x="66"/>
        <item x="31"/>
        <item x="52"/>
        <item x="79"/>
        <item x="63"/>
        <item x="88"/>
        <item x="45"/>
        <item x="12"/>
        <item x="57"/>
        <item x="90"/>
        <item x="21"/>
        <item x="0"/>
        <item x="95"/>
        <item x="39"/>
        <item x="38"/>
        <item x="55"/>
        <item x="43"/>
        <item x="86"/>
        <item x="34"/>
        <item x="7"/>
        <item x="40"/>
        <item x="98"/>
        <item x="99"/>
        <item x="92"/>
        <item x="1"/>
        <item x="30"/>
        <item x="80"/>
        <item x="13"/>
        <item x="41"/>
        <item x="82"/>
        <item x="24"/>
        <item x="26"/>
        <item x="20"/>
        <item x="35"/>
        <item x="8"/>
        <item x="51"/>
        <item x="72"/>
        <item x="85"/>
        <item x="32"/>
        <item x="89"/>
        <item x="22"/>
        <item x="93"/>
        <item x="50"/>
        <item x="56"/>
        <item x="67"/>
        <item x="17"/>
        <item x="61"/>
        <item x="94"/>
        <item x="37"/>
        <item x="3"/>
        <item x="71"/>
        <item x="46"/>
        <item x="29"/>
        <item x="11"/>
        <item x="68"/>
        <item x="48"/>
        <item x="60"/>
        <item x="75"/>
        <item x="62"/>
        <item x="73"/>
        <item x="18"/>
        <item t="default"/>
      </items>
    </pivotField>
    <pivotField numFmtId="164" showAll="0">
      <items count="83">
        <item x="55"/>
        <item x="63"/>
        <item x="28"/>
        <item x="60"/>
        <item x="9"/>
        <item x="20"/>
        <item x="78"/>
        <item x="79"/>
        <item x="70"/>
        <item x="22"/>
        <item x="44"/>
        <item x="26"/>
        <item x="80"/>
        <item x="53"/>
        <item x="46"/>
        <item x="5"/>
        <item x="27"/>
        <item x="36"/>
        <item x="40"/>
        <item x="66"/>
        <item x="65"/>
        <item x="32"/>
        <item x="23"/>
        <item x="1"/>
        <item x="30"/>
        <item x="38"/>
        <item x="13"/>
        <item x="69"/>
        <item x="51"/>
        <item x="10"/>
        <item x="14"/>
        <item x="11"/>
        <item x="19"/>
        <item x="58"/>
        <item x="31"/>
        <item x="3"/>
        <item x="43"/>
        <item x="57"/>
        <item x="72"/>
        <item x="47"/>
        <item x="81"/>
        <item x="2"/>
        <item x="15"/>
        <item x="62"/>
        <item x="21"/>
        <item x="16"/>
        <item x="33"/>
        <item x="24"/>
        <item x="39"/>
        <item x="41"/>
        <item x="50"/>
        <item x="29"/>
        <item x="48"/>
        <item x="68"/>
        <item x="4"/>
        <item x="45"/>
        <item x="7"/>
        <item x="56"/>
        <item x="49"/>
        <item x="0"/>
        <item x="76"/>
        <item x="8"/>
        <item x="52"/>
        <item x="67"/>
        <item x="12"/>
        <item x="61"/>
        <item x="75"/>
        <item x="54"/>
        <item x="73"/>
        <item x="37"/>
        <item x="25"/>
        <item x="64"/>
        <item x="34"/>
        <item x="59"/>
        <item x="6"/>
        <item x="77"/>
        <item x="17"/>
        <item x="42"/>
        <item x="35"/>
        <item x="71"/>
        <item x="74"/>
        <item x="18"/>
        <item t="default"/>
      </items>
    </pivotField>
    <pivotField axis="axisRow" showAll="0">
      <items count="76">
        <item x="69"/>
        <item x="33"/>
        <item x="62"/>
        <item x="44"/>
        <item x="16"/>
        <item x="36"/>
        <item x="34"/>
        <item h="1" x="26"/>
        <item h="1" x="14"/>
        <item h="1" x="56"/>
        <item h="1" x="53"/>
        <item h="1" x="5"/>
        <item h="1" x="32"/>
        <item h="1" x="6"/>
        <item h="1" x="25"/>
        <item h="1" x="47"/>
        <item h="1" x="12"/>
        <item h="1" x="13"/>
        <item h="1" x="68"/>
        <item h="1" x="72"/>
        <item h="1" x="30"/>
        <item h="1" x="50"/>
        <item h="1" x="21"/>
        <item h="1" x="23"/>
        <item h="1" x="18"/>
        <item h="1" x="0"/>
        <item h="1" x="31"/>
        <item h="1" x="20"/>
        <item h="1" x="61"/>
        <item h="1" x="7"/>
        <item h="1" x="60"/>
        <item h="1" x="65"/>
        <item h="1" x="9"/>
        <item h="1" x="46"/>
        <item h="1" x="70"/>
        <item h="1" x="29"/>
        <item h="1" x="48"/>
        <item h="1" x="15"/>
        <item h="1" x="2"/>
        <item h="1" x="66"/>
        <item h="1" x="41"/>
        <item h="1" x="59"/>
        <item h="1" x="42"/>
        <item h="1" x="74"/>
        <item h="1" x="17"/>
        <item h="1" x="40"/>
        <item h="1" x="3"/>
        <item h="1" x="57"/>
        <item h="1" x="58"/>
        <item h="1" x="4"/>
        <item h="1" x="54"/>
        <item h="1" x="55"/>
        <item h="1" x="22"/>
        <item h="1" x="73"/>
        <item h="1" x="67"/>
        <item h="1" x="52"/>
        <item h="1" x="24"/>
        <item h="1" x="38"/>
        <item h="1" x="10"/>
        <item h="1" x="1"/>
        <item h="1" x="64"/>
        <item h="1" x="71"/>
        <item h="1" x="39"/>
        <item h="1" x="51"/>
        <item h="1" x="28"/>
        <item h="1" x="27"/>
        <item h="1" x="49"/>
        <item h="1" x="45"/>
        <item h="1" x="35"/>
        <item h="1" x="19"/>
        <item h="1" x="43"/>
        <item h="1" x="11"/>
        <item h="1" x="37"/>
        <item h="1" x="63"/>
        <item h="1" x="8"/>
        <item t="default"/>
      </items>
    </pivotField>
    <pivotField showAll="0">
      <items count="11">
        <item x="0"/>
        <item x="7"/>
        <item x="5"/>
        <item x="8"/>
        <item x="9"/>
        <item x="2"/>
        <item x="1"/>
        <item x="3"/>
        <item x="4"/>
        <item x="6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Gross_Sales" fld="10" baseField="0" baseItem="0"/>
  </dataFields>
  <chartFormats count="1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DC9CF-6E44-4E18-BD83-436538EFC24F}" name="SalesData" displayName="SalesData" ref="A1:S102" totalsRowCount="1" headerRowDxfId="9" headerRowBorderDxfId="11" tableBorderDxfId="12">
  <autoFilter ref="A1:S101" xr:uid="{6FBDC9CF-6E44-4E18-BD83-436538EFC24F}"/>
  <sortState xmlns:xlrd2="http://schemas.microsoft.com/office/spreadsheetml/2017/richdata2" ref="A2:S101">
    <sortCondition ref="I48:I101"/>
  </sortState>
  <tableColumns count="19">
    <tableColumn id="1" xr3:uid="{F23AC207-92E6-404C-B59D-02BB6AB502A3}" name="Order_ID"/>
    <tableColumn id="2" xr3:uid="{FC9B4B48-87AF-426E-B28E-A6BD92429369}" name="Order_Date" dataDxfId="10" totalsRowDxfId="8"/>
    <tableColumn id="3" xr3:uid="{DE2D9B42-46F6-4D70-A422-FC295B7C7951}" name="Customer_Name"/>
    <tableColumn id="4" xr3:uid="{68C5F4A3-8839-4866-8D12-2A096E23A6E9}" name="City"/>
    <tableColumn id="5" xr3:uid="{28E911B1-6C90-440C-86AE-1F6F2B389AFB}" name="State"/>
    <tableColumn id="6" xr3:uid="{94412DAE-5119-4AD4-B884-9C1AEA5A55A7}" name="Product"/>
    <tableColumn id="7" xr3:uid="{7C5D662C-5384-44F1-A0E1-6207F60B6C2C}" name="Category"/>
    <tableColumn id="8" xr3:uid="{DAB5EFC9-CC42-4197-9264-8B8A1B93117A}" name="Quantity" totalsRowFunction="custom" dataDxfId="5">
      <totalsRowFormula>SUM(Sales_Data!H2:H101)</totalsRowFormula>
    </tableColumn>
    <tableColumn id="9" xr3:uid="{18372DBA-D389-479C-8F00-E65ADD995A6C}" name="Unit_Price" dataDxfId="4"/>
    <tableColumn id="10" xr3:uid="{E060E93D-539E-4F19-8D32-BCFFBF17D1F9}" name="Discount_%" dataDxfId="3"/>
    <tableColumn id="11" xr3:uid="{2DF9306A-34FD-415D-94C9-7FEAF9624E99}" name="Gross_Sales" dataDxfId="2"/>
    <tableColumn id="12" xr3:uid="{8823C4E1-8E49-4AA2-8175-E6A56DA984F0}" name="Discount_Amount" dataDxfId="1"/>
    <tableColumn id="13" xr3:uid="{311D1718-0792-4269-BCEB-9A89A2C782E8}" name="Net_Sales" dataDxfId="0"/>
    <tableColumn id="14" xr3:uid="{41C8DA7E-59E8-47AB-82A4-D2E30F7EB748}" name="Sales_Channel"/>
    <tableColumn id="15" xr3:uid="{ACDC6CAE-7C1C-4ADD-919F-DC2220B2E109}" name="Payment_Method"/>
    <tableColumn id="16" xr3:uid="{7FEF1855-B130-4EB8-91C5-63047E6B7957}" name="Order_Status"/>
    <tableColumn id="17" xr3:uid="{B99D2621-A51A-424D-98DF-DE7CFB569001}" name="Salesperson"/>
    <tableColumn id="18" xr3:uid="{5272FF07-4EB5-4880-8B1E-4A04F2807C88}" name="Sales Profmance" dataDxfId="7">
      <calculatedColumnFormula>IF(M2&gt;=50000,"High","Low")</calculatedColumnFormula>
    </tableColumn>
    <tableColumn id="19" xr3:uid="{BEDA348F-4556-4E07-BE0C-5D15E8DCDAD9}" name="Sales_Classification" dataDxfId="6">
      <calculatedColumnFormula>IF(M2&gt;=50000,"High",IF(M2&gt;=25000,"Medium","Low"))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"/>
  <sheetViews>
    <sheetView topLeftCell="H85" workbookViewId="0">
      <selection activeCell="S1" sqref="A1:S101"/>
    </sheetView>
  </sheetViews>
  <sheetFormatPr defaultRowHeight="15" x14ac:dyDescent="0.25"/>
  <cols>
    <col min="1" max="1" width="11.140625" customWidth="1"/>
    <col min="2" max="2" width="13.42578125" customWidth="1"/>
    <col min="3" max="3" width="18" customWidth="1"/>
    <col min="5" max="5" width="30.85546875" customWidth="1"/>
    <col min="6" max="6" width="13.85546875" bestFit="1" customWidth="1"/>
    <col min="7" max="7" width="16.5703125" bestFit="1" customWidth="1"/>
    <col min="8" max="8" width="18.42578125" bestFit="1" customWidth="1"/>
    <col min="9" max="9" width="23.85546875" bestFit="1" customWidth="1"/>
    <col min="10" max="10" width="13.42578125" customWidth="1"/>
    <col min="11" max="11" width="13.7109375" customWidth="1"/>
    <col min="12" max="12" width="19" customWidth="1"/>
    <col min="13" max="13" width="12" customWidth="1"/>
    <col min="14" max="14" width="16" customWidth="1"/>
    <col min="15" max="15" width="19.140625" customWidth="1"/>
    <col min="16" max="16" width="14.7109375" customWidth="1"/>
    <col min="17" max="17" width="13.85546875" customWidth="1"/>
    <col min="18" max="18" width="20.28515625" bestFit="1" customWidth="1"/>
    <col min="19" max="19" width="23.14062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280</v>
      </c>
      <c r="S1" s="3" t="s">
        <v>281</v>
      </c>
    </row>
    <row r="2" spans="1:19" x14ac:dyDescent="0.25">
      <c r="A2" t="s">
        <v>164</v>
      </c>
      <c r="B2" s="2">
        <v>46194</v>
      </c>
      <c r="C2" t="s">
        <v>141</v>
      </c>
      <c r="D2" t="s">
        <v>35</v>
      </c>
      <c r="E2" t="s">
        <v>20</v>
      </c>
      <c r="F2" t="s">
        <v>78</v>
      </c>
      <c r="G2" t="s">
        <v>52</v>
      </c>
      <c r="H2" s="6">
        <v>4</v>
      </c>
      <c r="I2" s="6">
        <v>160</v>
      </c>
      <c r="J2" s="6">
        <v>0.1</v>
      </c>
      <c r="K2" s="6">
        <v>640</v>
      </c>
      <c r="L2" s="6">
        <v>64</v>
      </c>
      <c r="M2" s="6">
        <v>576</v>
      </c>
      <c r="N2" t="s">
        <v>62</v>
      </c>
      <c r="O2" t="s">
        <v>53</v>
      </c>
      <c r="P2" t="s">
        <v>25</v>
      </c>
      <c r="Q2" t="s">
        <v>32</v>
      </c>
      <c r="R2" t="str">
        <f>IF(M2&gt;=50000,"High","Low")</f>
        <v>Low</v>
      </c>
      <c r="S2" t="str">
        <f>IF(M2&gt;=50000,"High",IF(M2&gt;=25000,"Medium","Low"))</f>
        <v>Low</v>
      </c>
    </row>
    <row r="3" spans="1:19" x14ac:dyDescent="0.25">
      <c r="A3" t="s">
        <v>187</v>
      </c>
      <c r="B3" s="2">
        <v>46092</v>
      </c>
      <c r="C3" t="s">
        <v>91</v>
      </c>
      <c r="D3" t="s">
        <v>38</v>
      </c>
      <c r="E3" t="s">
        <v>20</v>
      </c>
      <c r="F3" t="s">
        <v>78</v>
      </c>
      <c r="G3" t="s">
        <v>52</v>
      </c>
      <c r="H3" s="6">
        <v>5</v>
      </c>
      <c r="I3" s="6">
        <v>170</v>
      </c>
      <c r="J3" s="6">
        <v>0.15</v>
      </c>
      <c r="K3" s="6">
        <v>850</v>
      </c>
      <c r="L3" s="6">
        <v>127.5</v>
      </c>
      <c r="M3" s="6">
        <v>722.5</v>
      </c>
      <c r="N3" t="s">
        <v>23</v>
      </c>
      <c r="O3" t="s">
        <v>53</v>
      </c>
      <c r="P3" t="s">
        <v>25</v>
      </c>
      <c r="Q3" t="s">
        <v>42</v>
      </c>
      <c r="R3" t="str">
        <f>IF(M3&gt;=50000,"High","Low")</f>
        <v>Low</v>
      </c>
      <c r="S3" t="str">
        <f>IF(M3&gt;=50000,"High",IF(M3&gt;=25000,"Medium","Low"))</f>
        <v>Low</v>
      </c>
    </row>
    <row r="4" spans="1:19" x14ac:dyDescent="0.25">
      <c r="A4" t="s">
        <v>76</v>
      </c>
      <c r="B4" s="2">
        <v>46151</v>
      </c>
      <c r="C4" t="s">
        <v>77</v>
      </c>
      <c r="D4" t="s">
        <v>35</v>
      </c>
      <c r="E4" t="s">
        <v>20</v>
      </c>
      <c r="F4" t="s">
        <v>78</v>
      </c>
      <c r="G4" t="s">
        <v>52</v>
      </c>
      <c r="H4" s="6">
        <v>2</v>
      </c>
      <c r="I4" s="6">
        <v>180</v>
      </c>
      <c r="J4" s="6">
        <v>0.1</v>
      </c>
      <c r="K4" s="6">
        <v>360</v>
      </c>
      <c r="L4" s="6">
        <v>36</v>
      </c>
      <c r="M4" s="6">
        <v>324</v>
      </c>
      <c r="N4" t="s">
        <v>23</v>
      </c>
      <c r="O4" t="s">
        <v>59</v>
      </c>
      <c r="P4" t="s">
        <v>25</v>
      </c>
      <c r="Q4" t="s">
        <v>32</v>
      </c>
      <c r="R4" t="str">
        <f>IF(M4&gt;=50000,"High","Low")</f>
        <v>Low</v>
      </c>
      <c r="S4" t="str">
        <f>IF(M4&gt;=50000,"High",IF(M4&gt;=25000,"Medium","Low"))</f>
        <v>Low</v>
      </c>
    </row>
    <row r="5" spans="1:19" x14ac:dyDescent="0.25">
      <c r="A5" t="s">
        <v>225</v>
      </c>
      <c r="B5" s="2">
        <v>46136</v>
      </c>
      <c r="C5" t="s">
        <v>226</v>
      </c>
      <c r="D5" t="s">
        <v>19</v>
      </c>
      <c r="E5" t="s">
        <v>20</v>
      </c>
      <c r="F5" t="s">
        <v>78</v>
      </c>
      <c r="G5" t="s">
        <v>52</v>
      </c>
      <c r="H5" s="6">
        <v>1</v>
      </c>
      <c r="I5" s="6">
        <v>190</v>
      </c>
      <c r="J5" s="6">
        <v>0</v>
      </c>
      <c r="K5" s="6">
        <v>190</v>
      </c>
      <c r="L5" s="6">
        <v>0</v>
      </c>
      <c r="M5" s="6">
        <v>190</v>
      </c>
      <c r="N5" t="s">
        <v>31</v>
      </c>
      <c r="O5" t="s">
        <v>59</v>
      </c>
      <c r="P5" t="s">
        <v>25</v>
      </c>
      <c r="Q5" t="s">
        <v>26</v>
      </c>
      <c r="R5" t="str">
        <f>IF(M5&gt;=50000,"High","Low")</f>
        <v>Low</v>
      </c>
      <c r="S5" t="str">
        <f>IF(M5&gt;=50000,"High",IF(M5&gt;=25000,"Medium","Low"))</f>
        <v>Low</v>
      </c>
    </row>
    <row r="6" spans="1:19" x14ac:dyDescent="0.25">
      <c r="A6" t="s">
        <v>138</v>
      </c>
      <c r="B6" s="2">
        <v>46182</v>
      </c>
      <c r="C6" t="s">
        <v>139</v>
      </c>
      <c r="D6" t="s">
        <v>38</v>
      </c>
      <c r="E6" t="s">
        <v>20</v>
      </c>
      <c r="F6" t="s">
        <v>78</v>
      </c>
      <c r="G6" t="s">
        <v>52</v>
      </c>
      <c r="H6" s="6">
        <v>1</v>
      </c>
      <c r="I6" s="6">
        <v>200</v>
      </c>
      <c r="J6" s="6">
        <v>0.1</v>
      </c>
      <c r="K6" s="6">
        <v>200</v>
      </c>
      <c r="L6" s="6">
        <v>20</v>
      </c>
      <c r="M6" s="6">
        <v>180</v>
      </c>
      <c r="N6" t="s">
        <v>23</v>
      </c>
      <c r="O6" t="s">
        <v>59</v>
      </c>
      <c r="P6" t="s">
        <v>25</v>
      </c>
      <c r="Q6" t="s">
        <v>48</v>
      </c>
      <c r="R6" t="str">
        <f>IF(M6&gt;=50000,"High","Low")</f>
        <v>Low</v>
      </c>
      <c r="S6" t="str">
        <f>IF(M6&gt;=50000,"High",IF(M6&gt;=25000,"Medium","Low"))</f>
        <v>Low</v>
      </c>
    </row>
    <row r="7" spans="1:19" x14ac:dyDescent="0.25">
      <c r="A7" t="s">
        <v>49</v>
      </c>
      <c r="B7" s="2">
        <v>46076</v>
      </c>
      <c r="C7" t="s">
        <v>50</v>
      </c>
      <c r="D7" t="s">
        <v>35</v>
      </c>
      <c r="E7" t="s">
        <v>20</v>
      </c>
      <c r="F7" t="s">
        <v>51</v>
      </c>
      <c r="G7" t="s">
        <v>52</v>
      </c>
      <c r="H7" s="6">
        <v>3</v>
      </c>
      <c r="I7" s="6">
        <v>230</v>
      </c>
      <c r="J7" s="6">
        <v>0.1</v>
      </c>
      <c r="K7" s="6">
        <v>690</v>
      </c>
      <c r="L7" s="6">
        <v>69</v>
      </c>
      <c r="M7" s="6">
        <v>621</v>
      </c>
      <c r="N7" t="s">
        <v>23</v>
      </c>
      <c r="O7" t="s">
        <v>53</v>
      </c>
      <c r="P7" t="s">
        <v>25</v>
      </c>
      <c r="Q7" t="s">
        <v>32</v>
      </c>
      <c r="R7" t="str">
        <f>IF(M7&gt;=50000,"High","Low")</f>
        <v>Low</v>
      </c>
      <c r="S7" t="str">
        <f>IF(M7&gt;=50000,"High",IF(M7&gt;=25000,"Medium","Low"))</f>
        <v>Low</v>
      </c>
    </row>
    <row r="8" spans="1:19" x14ac:dyDescent="0.25">
      <c r="A8" t="s">
        <v>102</v>
      </c>
      <c r="B8" s="2">
        <v>46237</v>
      </c>
      <c r="C8" t="s">
        <v>103</v>
      </c>
      <c r="D8" t="s">
        <v>19</v>
      </c>
      <c r="E8" t="s">
        <v>20</v>
      </c>
      <c r="F8" t="s">
        <v>51</v>
      </c>
      <c r="G8" t="s">
        <v>52</v>
      </c>
      <c r="H8" s="6">
        <v>5</v>
      </c>
      <c r="I8" s="6">
        <v>230</v>
      </c>
      <c r="J8" s="6">
        <v>0.2</v>
      </c>
      <c r="K8" s="6">
        <v>1150</v>
      </c>
      <c r="L8" s="6">
        <v>230</v>
      </c>
      <c r="M8" s="6">
        <v>920</v>
      </c>
      <c r="N8" t="s">
        <v>31</v>
      </c>
      <c r="O8" t="s">
        <v>24</v>
      </c>
      <c r="P8" t="s">
        <v>25</v>
      </c>
      <c r="Q8" t="s">
        <v>48</v>
      </c>
      <c r="R8" t="str">
        <f>IF(M8&gt;=50000,"High","Low")</f>
        <v>Low</v>
      </c>
      <c r="S8" t="str">
        <f>IF(M8&gt;=50000,"High",IF(M8&gt;=25000,"Medium","Low"))</f>
        <v>Low</v>
      </c>
    </row>
    <row r="9" spans="1:19" x14ac:dyDescent="0.25">
      <c r="A9" t="s">
        <v>178</v>
      </c>
      <c r="B9" s="2">
        <v>46189</v>
      </c>
      <c r="C9" t="s">
        <v>179</v>
      </c>
      <c r="D9" t="s">
        <v>38</v>
      </c>
      <c r="E9" t="s">
        <v>20</v>
      </c>
      <c r="F9" t="s">
        <v>51</v>
      </c>
      <c r="G9" t="s">
        <v>52</v>
      </c>
      <c r="H9" s="6">
        <v>2</v>
      </c>
      <c r="I9" s="6">
        <v>250</v>
      </c>
      <c r="J9" s="6">
        <v>0.2</v>
      </c>
      <c r="K9" s="6">
        <v>500</v>
      </c>
      <c r="L9" s="6">
        <v>100</v>
      </c>
      <c r="M9" s="6">
        <v>400</v>
      </c>
      <c r="N9" t="s">
        <v>62</v>
      </c>
      <c r="O9" t="s">
        <v>24</v>
      </c>
      <c r="P9" t="s">
        <v>25</v>
      </c>
      <c r="Q9" t="s">
        <v>32</v>
      </c>
      <c r="R9" t="str">
        <f>IF(M9&gt;=50000,"High","Low")</f>
        <v>Low</v>
      </c>
      <c r="S9" t="str">
        <f>IF(M9&gt;=50000,"High",IF(M9&gt;=25000,"Medium","Low"))</f>
        <v>Low</v>
      </c>
    </row>
    <row r="10" spans="1:19" x14ac:dyDescent="0.25">
      <c r="A10" t="s">
        <v>203</v>
      </c>
      <c r="B10" s="2">
        <v>46202</v>
      </c>
      <c r="C10" t="s">
        <v>204</v>
      </c>
      <c r="D10" t="s">
        <v>35</v>
      </c>
      <c r="E10" t="s">
        <v>20</v>
      </c>
      <c r="F10" t="s">
        <v>51</v>
      </c>
      <c r="G10" t="s">
        <v>52</v>
      </c>
      <c r="H10" s="6">
        <v>1</v>
      </c>
      <c r="I10" s="6">
        <v>250</v>
      </c>
      <c r="J10" s="6">
        <v>0.1</v>
      </c>
      <c r="K10" s="6">
        <v>250</v>
      </c>
      <c r="L10" s="6">
        <v>25</v>
      </c>
      <c r="M10" s="6">
        <v>225</v>
      </c>
      <c r="N10" t="s">
        <v>23</v>
      </c>
      <c r="O10" t="s">
        <v>24</v>
      </c>
      <c r="P10" t="s">
        <v>25</v>
      </c>
      <c r="Q10" t="s">
        <v>48</v>
      </c>
      <c r="R10" t="str">
        <f>IF(M10&gt;=50000,"High","Low")</f>
        <v>Low</v>
      </c>
      <c r="S10" t="str">
        <f>IF(M10&gt;=50000,"High",IF(M10&gt;=25000,"Medium","Low"))</f>
        <v>Low</v>
      </c>
    </row>
    <row r="11" spans="1:19" x14ac:dyDescent="0.25">
      <c r="A11" t="s">
        <v>108</v>
      </c>
      <c r="B11" s="2">
        <v>46037</v>
      </c>
      <c r="C11" t="s">
        <v>109</v>
      </c>
      <c r="D11" t="s">
        <v>88</v>
      </c>
      <c r="E11" t="s">
        <v>89</v>
      </c>
      <c r="F11" t="s">
        <v>110</v>
      </c>
      <c r="G11" t="s">
        <v>52</v>
      </c>
      <c r="H11" s="6">
        <v>2</v>
      </c>
      <c r="I11" s="6">
        <v>520</v>
      </c>
      <c r="J11" s="6">
        <v>0.05</v>
      </c>
      <c r="K11" s="6">
        <v>1040</v>
      </c>
      <c r="L11" s="6">
        <v>52</v>
      </c>
      <c r="M11" s="6">
        <v>988</v>
      </c>
      <c r="N11" t="s">
        <v>23</v>
      </c>
      <c r="O11" t="s">
        <v>59</v>
      </c>
      <c r="P11" t="s">
        <v>25</v>
      </c>
      <c r="Q11" t="s">
        <v>26</v>
      </c>
      <c r="R11" t="str">
        <f>IF(M11&gt;=50000,"High","Low")</f>
        <v>Low</v>
      </c>
      <c r="S11" t="str">
        <f>IF(M11&gt;=50000,"High",IF(M11&gt;=25000,"Medium","Low"))</f>
        <v>Low</v>
      </c>
    </row>
    <row r="12" spans="1:19" x14ac:dyDescent="0.25">
      <c r="A12" t="s">
        <v>129</v>
      </c>
      <c r="B12" s="2">
        <v>46112</v>
      </c>
      <c r="C12" t="s">
        <v>130</v>
      </c>
      <c r="D12" t="s">
        <v>29</v>
      </c>
      <c r="E12" t="s">
        <v>20</v>
      </c>
      <c r="F12" t="s">
        <v>110</v>
      </c>
      <c r="G12" t="s">
        <v>52</v>
      </c>
      <c r="H12" s="6">
        <v>2</v>
      </c>
      <c r="I12" s="6">
        <v>520</v>
      </c>
      <c r="J12" s="6">
        <v>0.15</v>
      </c>
      <c r="K12" s="6">
        <v>1040</v>
      </c>
      <c r="L12" s="6">
        <v>156</v>
      </c>
      <c r="M12" s="6">
        <v>884</v>
      </c>
      <c r="N12" t="s">
        <v>31</v>
      </c>
      <c r="O12" t="s">
        <v>53</v>
      </c>
      <c r="P12" t="s">
        <v>25</v>
      </c>
      <c r="Q12" t="s">
        <v>48</v>
      </c>
      <c r="R12" t="str">
        <f>IF(M12&gt;=50000,"High","Low")</f>
        <v>Low</v>
      </c>
      <c r="S12" t="str">
        <f>IF(M12&gt;=50000,"High",IF(M12&gt;=25000,"Medium","Low"))</f>
        <v>Low</v>
      </c>
    </row>
    <row r="13" spans="1:19" x14ac:dyDescent="0.25">
      <c r="A13" t="s">
        <v>233</v>
      </c>
      <c r="B13" s="2">
        <v>46114</v>
      </c>
      <c r="C13" t="s">
        <v>226</v>
      </c>
      <c r="D13" t="s">
        <v>73</v>
      </c>
      <c r="E13" t="s">
        <v>73</v>
      </c>
      <c r="F13" t="s">
        <v>110</v>
      </c>
      <c r="G13" t="s">
        <v>52</v>
      </c>
      <c r="H13" s="6">
        <v>1</v>
      </c>
      <c r="I13" s="6">
        <v>520</v>
      </c>
      <c r="J13" s="6">
        <v>0.2</v>
      </c>
      <c r="K13" s="6">
        <v>520</v>
      </c>
      <c r="L13" s="6">
        <v>104</v>
      </c>
      <c r="M13" s="6">
        <v>416</v>
      </c>
      <c r="N13" t="s">
        <v>23</v>
      </c>
      <c r="O13" t="s">
        <v>24</v>
      </c>
      <c r="P13" t="s">
        <v>25</v>
      </c>
      <c r="Q13" t="s">
        <v>42</v>
      </c>
      <c r="R13" t="str">
        <f>IF(M13&gt;=50000,"High","Low")</f>
        <v>Low</v>
      </c>
      <c r="S13" t="str">
        <f>IF(M13&gt;=50000,"High",IF(M13&gt;=25000,"Medium","Low"))</f>
        <v>Low</v>
      </c>
    </row>
    <row r="14" spans="1:19" x14ac:dyDescent="0.25">
      <c r="A14" t="s">
        <v>156</v>
      </c>
      <c r="B14" s="2">
        <v>46205</v>
      </c>
      <c r="C14" t="s">
        <v>157</v>
      </c>
      <c r="D14" t="s">
        <v>88</v>
      </c>
      <c r="E14" t="s">
        <v>89</v>
      </c>
      <c r="F14" t="s">
        <v>110</v>
      </c>
      <c r="G14" t="s">
        <v>52</v>
      </c>
      <c r="H14" s="6">
        <v>2</v>
      </c>
      <c r="I14" s="6">
        <v>530</v>
      </c>
      <c r="J14" s="6">
        <v>0</v>
      </c>
      <c r="K14" s="6">
        <v>1060</v>
      </c>
      <c r="L14" s="6">
        <v>0</v>
      </c>
      <c r="M14" s="6">
        <v>1060</v>
      </c>
      <c r="N14" t="s">
        <v>62</v>
      </c>
      <c r="O14" t="s">
        <v>41</v>
      </c>
      <c r="P14" t="s">
        <v>25</v>
      </c>
      <c r="Q14" t="s">
        <v>26</v>
      </c>
      <c r="R14" t="str">
        <f>IF(M14&gt;=50000,"High","Low")</f>
        <v>Low</v>
      </c>
      <c r="S14" t="str">
        <f>IF(M14&gt;=50000,"High",IF(M14&gt;=25000,"Medium","Low"))</f>
        <v>Low</v>
      </c>
    </row>
    <row r="15" spans="1:19" x14ac:dyDescent="0.25">
      <c r="A15" t="s">
        <v>191</v>
      </c>
      <c r="B15" s="2">
        <v>46095</v>
      </c>
      <c r="C15" t="s">
        <v>192</v>
      </c>
      <c r="D15" t="s">
        <v>69</v>
      </c>
      <c r="E15" t="s">
        <v>20</v>
      </c>
      <c r="F15" t="s">
        <v>110</v>
      </c>
      <c r="G15" t="s">
        <v>52</v>
      </c>
      <c r="H15" s="6">
        <v>1</v>
      </c>
      <c r="I15" s="6">
        <v>590</v>
      </c>
      <c r="J15" s="6">
        <v>0.2</v>
      </c>
      <c r="K15" s="6">
        <v>590</v>
      </c>
      <c r="L15" s="6">
        <v>118</v>
      </c>
      <c r="M15" s="6">
        <v>472</v>
      </c>
      <c r="N15" t="s">
        <v>31</v>
      </c>
      <c r="O15" t="s">
        <v>47</v>
      </c>
      <c r="P15" t="s">
        <v>25</v>
      </c>
      <c r="Q15" t="s">
        <v>42</v>
      </c>
      <c r="R15" t="str">
        <f>IF(M15&gt;=50000,"High","Low")</f>
        <v>Low</v>
      </c>
      <c r="S15" t="str">
        <f>IF(M15&gt;=50000,"High",IF(M15&gt;=25000,"Medium","Low"))</f>
        <v>Low</v>
      </c>
    </row>
    <row r="16" spans="1:19" x14ac:dyDescent="0.25">
      <c r="A16" t="s">
        <v>97</v>
      </c>
      <c r="B16" s="2">
        <v>46113</v>
      </c>
      <c r="C16" t="s">
        <v>98</v>
      </c>
      <c r="D16" t="s">
        <v>73</v>
      </c>
      <c r="E16" t="s">
        <v>73</v>
      </c>
      <c r="F16" t="s">
        <v>81</v>
      </c>
      <c r="G16" t="s">
        <v>58</v>
      </c>
      <c r="H16" s="6">
        <v>1</v>
      </c>
      <c r="I16" s="6">
        <v>640</v>
      </c>
      <c r="J16" s="6">
        <v>0.15</v>
      </c>
      <c r="K16" s="6">
        <v>640</v>
      </c>
      <c r="L16" s="6">
        <v>96</v>
      </c>
      <c r="M16" s="6">
        <v>544</v>
      </c>
      <c r="N16" t="s">
        <v>23</v>
      </c>
      <c r="O16" t="s">
        <v>47</v>
      </c>
      <c r="P16" t="s">
        <v>25</v>
      </c>
      <c r="Q16" t="s">
        <v>26</v>
      </c>
      <c r="R16" t="str">
        <f>IF(M16&gt;=50000,"High","Low")</f>
        <v>Low</v>
      </c>
      <c r="S16" t="str">
        <f>IF(M16&gt;=50000,"High",IF(M16&gt;=25000,"Medium","Low"))</f>
        <v>Low</v>
      </c>
    </row>
    <row r="17" spans="1:19" x14ac:dyDescent="0.25">
      <c r="A17" t="s">
        <v>123</v>
      </c>
      <c r="B17" s="2">
        <v>46152</v>
      </c>
      <c r="C17" t="s">
        <v>124</v>
      </c>
      <c r="D17" t="s">
        <v>45</v>
      </c>
      <c r="E17" t="s">
        <v>46</v>
      </c>
      <c r="F17" t="s">
        <v>81</v>
      </c>
      <c r="G17" t="s">
        <v>58</v>
      </c>
      <c r="H17" s="6">
        <v>3</v>
      </c>
      <c r="I17" s="6">
        <v>660</v>
      </c>
      <c r="J17" s="6">
        <v>0.1</v>
      </c>
      <c r="K17" s="6">
        <v>1980</v>
      </c>
      <c r="L17" s="6">
        <v>198</v>
      </c>
      <c r="M17" s="6">
        <v>1782</v>
      </c>
      <c r="N17" t="s">
        <v>23</v>
      </c>
      <c r="O17" t="s">
        <v>24</v>
      </c>
      <c r="P17" t="s">
        <v>25</v>
      </c>
      <c r="Q17" t="s">
        <v>42</v>
      </c>
      <c r="R17" t="str">
        <f>IF(M17&gt;=50000,"High","Low")</f>
        <v>Low</v>
      </c>
      <c r="S17" t="str">
        <f>IF(M17&gt;=50000,"High",IF(M17&gt;=25000,"Medium","Low"))</f>
        <v>Low</v>
      </c>
    </row>
    <row r="18" spans="1:19" x14ac:dyDescent="0.25">
      <c r="A18" t="s">
        <v>79</v>
      </c>
      <c r="B18" s="2">
        <v>46161</v>
      </c>
      <c r="C18" t="s">
        <v>80</v>
      </c>
      <c r="D18" t="s">
        <v>45</v>
      </c>
      <c r="E18" t="s">
        <v>46</v>
      </c>
      <c r="F18" t="s">
        <v>81</v>
      </c>
      <c r="G18" t="s">
        <v>58</v>
      </c>
      <c r="H18" s="6">
        <v>2</v>
      </c>
      <c r="I18" s="6">
        <v>680</v>
      </c>
      <c r="J18" s="6">
        <v>0.05</v>
      </c>
      <c r="K18" s="6">
        <v>1360</v>
      </c>
      <c r="L18" s="6">
        <v>68</v>
      </c>
      <c r="M18" s="6">
        <v>1292</v>
      </c>
      <c r="N18" t="s">
        <v>23</v>
      </c>
      <c r="O18" t="s">
        <v>59</v>
      </c>
      <c r="P18" t="s">
        <v>82</v>
      </c>
      <c r="Q18" t="s">
        <v>48</v>
      </c>
      <c r="R18" t="str">
        <f>IF(M18&gt;=50000,"High","Low")</f>
        <v>Low</v>
      </c>
      <c r="S18" t="str">
        <f>IF(M18&gt;=50000,"High",IF(M18&gt;=25000,"Medium","Low"))</f>
        <v>Low</v>
      </c>
    </row>
    <row r="19" spans="1:19" x14ac:dyDescent="0.25">
      <c r="A19" t="s">
        <v>220</v>
      </c>
      <c r="B19" s="2">
        <v>46242</v>
      </c>
      <c r="C19" t="s">
        <v>221</v>
      </c>
      <c r="D19" t="s">
        <v>38</v>
      </c>
      <c r="E19" t="s">
        <v>20</v>
      </c>
      <c r="F19" t="s">
        <v>81</v>
      </c>
      <c r="G19" t="s">
        <v>58</v>
      </c>
      <c r="H19" s="6">
        <v>2</v>
      </c>
      <c r="I19" s="6">
        <v>710</v>
      </c>
      <c r="J19" s="6">
        <v>0.05</v>
      </c>
      <c r="K19" s="6">
        <v>1420</v>
      </c>
      <c r="L19" s="6">
        <v>71</v>
      </c>
      <c r="M19" s="6">
        <v>1349</v>
      </c>
      <c r="N19" t="s">
        <v>23</v>
      </c>
      <c r="O19" t="s">
        <v>24</v>
      </c>
      <c r="P19" t="s">
        <v>25</v>
      </c>
      <c r="Q19" t="s">
        <v>48</v>
      </c>
      <c r="R19" t="str">
        <f>IF(M19&gt;=50000,"High","Low")</f>
        <v>Low</v>
      </c>
      <c r="S19" t="str">
        <f>IF(M19&gt;=50000,"High",IF(M19&gt;=25000,"Medium","Low"))</f>
        <v>Low</v>
      </c>
    </row>
    <row r="20" spans="1:19" x14ac:dyDescent="0.25">
      <c r="A20" t="s">
        <v>245</v>
      </c>
      <c r="B20" s="2">
        <v>46265</v>
      </c>
      <c r="C20" t="s">
        <v>246</v>
      </c>
      <c r="D20" t="s">
        <v>106</v>
      </c>
      <c r="E20" t="s">
        <v>107</v>
      </c>
      <c r="F20" t="s">
        <v>122</v>
      </c>
      <c r="G20" t="s">
        <v>58</v>
      </c>
      <c r="H20" s="6">
        <v>4</v>
      </c>
      <c r="I20" s="6">
        <v>740</v>
      </c>
      <c r="J20" s="6">
        <v>0</v>
      </c>
      <c r="K20" s="6">
        <v>2960</v>
      </c>
      <c r="L20" s="6">
        <v>0</v>
      </c>
      <c r="M20" s="6">
        <v>2960</v>
      </c>
      <c r="N20" t="s">
        <v>31</v>
      </c>
      <c r="O20" t="s">
        <v>53</v>
      </c>
      <c r="P20" t="s">
        <v>25</v>
      </c>
      <c r="Q20" t="s">
        <v>32</v>
      </c>
      <c r="R20" t="str">
        <f>IF(M20&gt;=50000,"High","Low")</f>
        <v>Low</v>
      </c>
      <c r="S20" t="str">
        <f>IF(M20&gt;=50000,"High",IF(M20&gt;=25000,"Medium","Low"))</f>
        <v>Low</v>
      </c>
    </row>
    <row r="21" spans="1:19" x14ac:dyDescent="0.25">
      <c r="A21" t="s">
        <v>104</v>
      </c>
      <c r="B21" s="2">
        <v>46120</v>
      </c>
      <c r="C21" t="s">
        <v>105</v>
      </c>
      <c r="D21" t="s">
        <v>106</v>
      </c>
      <c r="E21" t="s">
        <v>107</v>
      </c>
      <c r="F21" t="s">
        <v>81</v>
      </c>
      <c r="G21" t="s">
        <v>58</v>
      </c>
      <c r="H21" s="6">
        <v>4</v>
      </c>
      <c r="I21" s="6">
        <v>760</v>
      </c>
      <c r="J21" s="6">
        <v>0.05</v>
      </c>
      <c r="K21" s="6">
        <v>3040</v>
      </c>
      <c r="L21" s="6">
        <v>152</v>
      </c>
      <c r="M21" s="6">
        <v>2888</v>
      </c>
      <c r="N21" t="s">
        <v>62</v>
      </c>
      <c r="O21" t="s">
        <v>59</v>
      </c>
      <c r="P21" t="s">
        <v>25</v>
      </c>
      <c r="Q21" t="s">
        <v>48</v>
      </c>
      <c r="R21" t="str">
        <f>IF(M21&gt;=50000,"High","Low")</f>
        <v>Low</v>
      </c>
      <c r="S21" t="str">
        <f>IF(M21&gt;=50000,"High",IF(M21&gt;=25000,"Medium","Low"))</f>
        <v>Low</v>
      </c>
    </row>
    <row r="22" spans="1:19" x14ac:dyDescent="0.25">
      <c r="A22" t="s">
        <v>200</v>
      </c>
      <c r="B22" s="2">
        <v>46041</v>
      </c>
      <c r="C22" t="s">
        <v>201</v>
      </c>
      <c r="D22" t="s">
        <v>56</v>
      </c>
      <c r="E22" t="s">
        <v>20</v>
      </c>
      <c r="F22" t="s">
        <v>122</v>
      </c>
      <c r="G22" t="s">
        <v>58</v>
      </c>
      <c r="H22" s="6">
        <v>3</v>
      </c>
      <c r="I22" s="6">
        <v>830</v>
      </c>
      <c r="J22" s="6">
        <v>0.15</v>
      </c>
      <c r="K22" s="6">
        <v>2490</v>
      </c>
      <c r="L22" s="6">
        <v>373.5</v>
      </c>
      <c r="M22" s="6">
        <v>2116.5</v>
      </c>
      <c r="N22" t="s">
        <v>23</v>
      </c>
      <c r="O22" t="s">
        <v>53</v>
      </c>
      <c r="P22" t="s">
        <v>25</v>
      </c>
      <c r="Q22" t="s">
        <v>48</v>
      </c>
      <c r="R22" t="str">
        <f>IF(M22&gt;=50000,"High","Low")</f>
        <v>Low</v>
      </c>
      <c r="S22" t="str">
        <f>IF(M22&gt;=50000,"High",IF(M22&gt;=25000,"Medium","Low"))</f>
        <v>Low</v>
      </c>
    </row>
    <row r="23" spans="1:19" x14ac:dyDescent="0.25">
      <c r="A23" t="s">
        <v>162</v>
      </c>
      <c r="B23" s="2">
        <v>46160</v>
      </c>
      <c r="C23" t="s">
        <v>163</v>
      </c>
      <c r="D23" t="s">
        <v>38</v>
      </c>
      <c r="E23" t="s">
        <v>20</v>
      </c>
      <c r="F23" t="s">
        <v>122</v>
      </c>
      <c r="G23" t="s">
        <v>58</v>
      </c>
      <c r="H23" s="6">
        <v>4</v>
      </c>
      <c r="I23" s="6">
        <v>860</v>
      </c>
      <c r="J23" s="6">
        <v>0.15</v>
      </c>
      <c r="K23" s="6">
        <v>3440</v>
      </c>
      <c r="L23" s="6">
        <v>516</v>
      </c>
      <c r="M23" s="6">
        <v>2924</v>
      </c>
      <c r="N23" t="s">
        <v>31</v>
      </c>
      <c r="O23" t="s">
        <v>24</v>
      </c>
      <c r="P23" t="s">
        <v>25</v>
      </c>
      <c r="Q23" t="s">
        <v>63</v>
      </c>
      <c r="R23" t="str">
        <f>IF(M23&gt;=50000,"High","Low")</f>
        <v>Low</v>
      </c>
      <c r="S23" t="str">
        <f>IF(M23&gt;=50000,"High",IF(M23&gt;=25000,"Medium","Low"))</f>
        <v>Low</v>
      </c>
    </row>
    <row r="24" spans="1:19" x14ac:dyDescent="0.25">
      <c r="A24" t="s">
        <v>211</v>
      </c>
      <c r="B24" s="2">
        <v>46054</v>
      </c>
      <c r="C24" t="s">
        <v>196</v>
      </c>
      <c r="D24" t="s">
        <v>69</v>
      </c>
      <c r="E24" t="s">
        <v>20</v>
      </c>
      <c r="F24" t="s">
        <v>122</v>
      </c>
      <c r="G24" t="s">
        <v>58</v>
      </c>
      <c r="H24" s="6">
        <v>4</v>
      </c>
      <c r="I24" s="6">
        <v>860</v>
      </c>
      <c r="J24" s="6">
        <v>0.15</v>
      </c>
      <c r="K24" s="6">
        <v>3440</v>
      </c>
      <c r="L24" s="6">
        <v>516</v>
      </c>
      <c r="M24" s="6">
        <v>2924</v>
      </c>
      <c r="N24" t="s">
        <v>23</v>
      </c>
      <c r="O24" t="s">
        <v>53</v>
      </c>
      <c r="P24" t="s">
        <v>25</v>
      </c>
      <c r="Q24" t="s">
        <v>42</v>
      </c>
      <c r="R24" t="str">
        <f>IF(M24&gt;=50000,"High","Low")</f>
        <v>Low</v>
      </c>
      <c r="S24" t="str">
        <f>IF(M24&gt;=50000,"High",IF(M24&gt;=25000,"Medium","Low"))</f>
        <v>Low</v>
      </c>
    </row>
    <row r="25" spans="1:19" x14ac:dyDescent="0.25">
      <c r="A25" t="s">
        <v>121</v>
      </c>
      <c r="B25" s="2">
        <v>46090</v>
      </c>
      <c r="C25" t="s">
        <v>72</v>
      </c>
      <c r="D25" t="s">
        <v>88</v>
      </c>
      <c r="E25" t="s">
        <v>89</v>
      </c>
      <c r="F25" t="s">
        <v>122</v>
      </c>
      <c r="G25" t="s">
        <v>58</v>
      </c>
      <c r="H25" s="6">
        <v>1</v>
      </c>
      <c r="I25" s="6">
        <v>870</v>
      </c>
      <c r="J25" s="6">
        <v>0.05</v>
      </c>
      <c r="K25" s="6">
        <v>870</v>
      </c>
      <c r="L25" s="6">
        <v>43.5</v>
      </c>
      <c r="M25" s="6">
        <v>826.5</v>
      </c>
      <c r="N25" t="s">
        <v>31</v>
      </c>
      <c r="O25" t="s">
        <v>59</v>
      </c>
      <c r="P25" t="s">
        <v>25</v>
      </c>
      <c r="Q25" t="s">
        <v>42</v>
      </c>
      <c r="R25" t="str">
        <f>IF(M25&gt;=50000,"High","Low")</f>
        <v>Low</v>
      </c>
      <c r="S25" t="str">
        <f>IF(M25&gt;=50000,"High",IF(M25&gt;=25000,"Medium","Low"))</f>
        <v>Low</v>
      </c>
    </row>
    <row r="26" spans="1:19" x14ac:dyDescent="0.25">
      <c r="A26" t="s">
        <v>197</v>
      </c>
      <c r="B26" s="2">
        <v>46168</v>
      </c>
      <c r="C26" t="s">
        <v>148</v>
      </c>
      <c r="D26" t="s">
        <v>106</v>
      </c>
      <c r="E26" t="s">
        <v>107</v>
      </c>
      <c r="F26" t="s">
        <v>122</v>
      </c>
      <c r="G26" t="s">
        <v>58</v>
      </c>
      <c r="H26" s="6">
        <v>5</v>
      </c>
      <c r="I26" s="6">
        <v>880</v>
      </c>
      <c r="J26" s="6">
        <v>0.1</v>
      </c>
      <c r="K26" s="6">
        <v>4400</v>
      </c>
      <c r="L26" s="6">
        <v>440</v>
      </c>
      <c r="M26" s="6">
        <v>3960</v>
      </c>
      <c r="N26" t="s">
        <v>31</v>
      </c>
      <c r="O26" t="s">
        <v>53</v>
      </c>
      <c r="P26" t="s">
        <v>25</v>
      </c>
      <c r="Q26" t="s">
        <v>42</v>
      </c>
      <c r="R26" t="str">
        <f>IF(M26&gt;=50000,"High","Low")</f>
        <v>Low</v>
      </c>
      <c r="S26" t="str">
        <f>IF(M26&gt;=50000,"High",IF(M26&gt;=25000,"Medium","Low"))</f>
        <v>Low</v>
      </c>
    </row>
    <row r="27" spans="1:19" x14ac:dyDescent="0.25">
      <c r="A27" t="s">
        <v>128</v>
      </c>
      <c r="B27" s="2">
        <v>46223</v>
      </c>
      <c r="C27" t="s">
        <v>116</v>
      </c>
      <c r="D27" t="s">
        <v>69</v>
      </c>
      <c r="E27" t="s">
        <v>20</v>
      </c>
      <c r="F27" t="s">
        <v>57</v>
      </c>
      <c r="G27" t="s">
        <v>58</v>
      </c>
      <c r="H27" s="6">
        <v>4</v>
      </c>
      <c r="I27" s="6">
        <v>1090</v>
      </c>
      <c r="J27" s="6">
        <v>0.1</v>
      </c>
      <c r="K27" s="6">
        <v>4360</v>
      </c>
      <c r="L27" s="6">
        <v>436</v>
      </c>
      <c r="M27" s="6">
        <v>3924</v>
      </c>
      <c r="N27" t="s">
        <v>31</v>
      </c>
      <c r="O27" t="s">
        <v>47</v>
      </c>
      <c r="P27" t="s">
        <v>75</v>
      </c>
      <c r="Q27" t="s">
        <v>48</v>
      </c>
      <c r="R27" t="str">
        <f>IF(M27&gt;=50000,"High","Low")</f>
        <v>Low</v>
      </c>
      <c r="S27" t="str">
        <f>IF(M27&gt;=50000,"High",IF(M27&gt;=25000,"Medium","Low"))</f>
        <v>Low</v>
      </c>
    </row>
    <row r="28" spans="1:19" x14ac:dyDescent="0.25">
      <c r="A28" t="s">
        <v>198</v>
      </c>
      <c r="B28" s="2">
        <v>46063</v>
      </c>
      <c r="C28" t="s">
        <v>199</v>
      </c>
      <c r="D28" t="s">
        <v>19</v>
      </c>
      <c r="E28" t="s">
        <v>20</v>
      </c>
      <c r="F28" t="s">
        <v>57</v>
      </c>
      <c r="G28" t="s">
        <v>58</v>
      </c>
      <c r="H28" s="6">
        <v>2</v>
      </c>
      <c r="I28" s="6">
        <v>1120</v>
      </c>
      <c r="J28" s="6">
        <v>0</v>
      </c>
      <c r="K28" s="6">
        <v>2240</v>
      </c>
      <c r="L28" s="6">
        <v>0</v>
      </c>
      <c r="M28" s="6">
        <v>2240</v>
      </c>
      <c r="N28" t="s">
        <v>62</v>
      </c>
      <c r="O28" t="s">
        <v>59</v>
      </c>
      <c r="P28" t="s">
        <v>25</v>
      </c>
      <c r="Q28" t="s">
        <v>26</v>
      </c>
      <c r="R28" t="str">
        <f>IF(M28&gt;=50000,"High","Low")</f>
        <v>Low</v>
      </c>
      <c r="S28" t="str">
        <f>IF(M28&gt;=50000,"High",IF(M28&gt;=25000,"Medium","Low"))</f>
        <v>Low</v>
      </c>
    </row>
    <row r="29" spans="1:19" x14ac:dyDescent="0.25">
      <c r="A29" t="s">
        <v>54</v>
      </c>
      <c r="B29" s="2">
        <v>46079</v>
      </c>
      <c r="C29" t="s">
        <v>55</v>
      </c>
      <c r="D29" t="s">
        <v>56</v>
      </c>
      <c r="E29" t="s">
        <v>20</v>
      </c>
      <c r="F29" t="s">
        <v>57</v>
      </c>
      <c r="G29" t="s">
        <v>58</v>
      </c>
      <c r="H29" s="6">
        <v>4</v>
      </c>
      <c r="I29" s="6">
        <v>1170</v>
      </c>
      <c r="J29" s="6">
        <v>0.2</v>
      </c>
      <c r="K29" s="6">
        <v>4680</v>
      </c>
      <c r="L29" s="6">
        <v>936</v>
      </c>
      <c r="M29" s="6">
        <v>3744</v>
      </c>
      <c r="N29" t="s">
        <v>31</v>
      </c>
      <c r="O29" t="s">
        <v>59</v>
      </c>
      <c r="P29" t="s">
        <v>25</v>
      </c>
      <c r="Q29" t="s">
        <v>48</v>
      </c>
      <c r="R29" t="str">
        <f>IF(M29&gt;=50000,"High","Low")</f>
        <v>Low</v>
      </c>
      <c r="S29" t="str">
        <f>IF(M29&gt;=50000,"High",IF(M29&gt;=25000,"Medium","Low"))</f>
        <v>Low</v>
      </c>
    </row>
    <row r="30" spans="1:19" x14ac:dyDescent="0.25">
      <c r="A30" t="s">
        <v>134</v>
      </c>
      <c r="B30" s="2">
        <v>46032</v>
      </c>
      <c r="C30" t="s">
        <v>135</v>
      </c>
      <c r="D30" t="s">
        <v>35</v>
      </c>
      <c r="E30" t="s">
        <v>20</v>
      </c>
      <c r="F30" t="s">
        <v>57</v>
      </c>
      <c r="G30" t="s">
        <v>58</v>
      </c>
      <c r="H30" s="6">
        <v>5</v>
      </c>
      <c r="I30" s="6">
        <v>1310</v>
      </c>
      <c r="J30" s="6">
        <v>0.1</v>
      </c>
      <c r="K30" s="6">
        <v>6550</v>
      </c>
      <c r="L30" s="6">
        <v>655</v>
      </c>
      <c r="M30" s="6">
        <v>5895</v>
      </c>
      <c r="N30" t="s">
        <v>23</v>
      </c>
      <c r="O30" t="s">
        <v>59</v>
      </c>
      <c r="P30" t="s">
        <v>25</v>
      </c>
      <c r="Q30" t="s">
        <v>48</v>
      </c>
      <c r="R30" t="str">
        <f>IF(M30&gt;=50000,"High","Low")</f>
        <v>Low</v>
      </c>
      <c r="S30" t="str">
        <f>IF(M30&gt;=50000,"High",IF(M30&gt;=25000,"Medium","Low"))</f>
        <v>Low</v>
      </c>
    </row>
    <row r="31" spans="1:19" x14ac:dyDescent="0.25">
      <c r="A31" t="s">
        <v>231</v>
      </c>
      <c r="B31" s="2">
        <v>46173</v>
      </c>
      <c r="C31" t="s">
        <v>232</v>
      </c>
      <c r="D31" t="s">
        <v>35</v>
      </c>
      <c r="E31" t="s">
        <v>20</v>
      </c>
      <c r="F31" t="s">
        <v>144</v>
      </c>
      <c r="G31" t="s">
        <v>58</v>
      </c>
      <c r="H31" s="6">
        <v>2</v>
      </c>
      <c r="I31" s="6">
        <v>1460</v>
      </c>
      <c r="J31" s="6">
        <v>0.1</v>
      </c>
      <c r="K31" s="6">
        <v>2920</v>
      </c>
      <c r="L31" s="6">
        <v>292</v>
      </c>
      <c r="M31" s="6">
        <v>2628</v>
      </c>
      <c r="N31" t="s">
        <v>62</v>
      </c>
      <c r="O31" t="s">
        <v>59</v>
      </c>
      <c r="P31" t="s">
        <v>25</v>
      </c>
      <c r="Q31" t="s">
        <v>63</v>
      </c>
      <c r="R31" t="str">
        <f>IF(M31&gt;=50000,"High","Low")</f>
        <v>Low</v>
      </c>
      <c r="S31" t="str">
        <f>IF(M31&gt;=50000,"High",IF(M31&gt;=25000,"Medium","Low"))</f>
        <v>Low</v>
      </c>
    </row>
    <row r="32" spans="1:19" x14ac:dyDescent="0.25">
      <c r="A32" t="s">
        <v>188</v>
      </c>
      <c r="B32" s="2">
        <v>46093</v>
      </c>
      <c r="C32" t="s">
        <v>146</v>
      </c>
      <c r="D32" t="s">
        <v>19</v>
      </c>
      <c r="E32" t="s">
        <v>20</v>
      </c>
      <c r="F32" t="s">
        <v>144</v>
      </c>
      <c r="G32" t="s">
        <v>58</v>
      </c>
      <c r="H32" s="6">
        <v>2</v>
      </c>
      <c r="I32" s="6">
        <v>1500</v>
      </c>
      <c r="J32" s="6">
        <v>0.15</v>
      </c>
      <c r="K32" s="6">
        <v>3000</v>
      </c>
      <c r="L32" s="6">
        <v>450</v>
      </c>
      <c r="M32" s="6">
        <v>2550</v>
      </c>
      <c r="N32" t="s">
        <v>62</v>
      </c>
      <c r="O32" t="s">
        <v>47</v>
      </c>
      <c r="P32" t="s">
        <v>25</v>
      </c>
      <c r="Q32" t="s">
        <v>63</v>
      </c>
      <c r="R32" t="str">
        <f>IF(M32&gt;=50000,"High","Low")</f>
        <v>Low</v>
      </c>
      <c r="S32" t="str">
        <f>IF(M32&gt;=50000,"High",IF(M32&gt;=25000,"Medium","Low"))</f>
        <v>Low</v>
      </c>
    </row>
    <row r="33" spans="1:19" x14ac:dyDescent="0.25">
      <c r="A33" t="s">
        <v>142</v>
      </c>
      <c r="B33" s="2">
        <v>46133</v>
      </c>
      <c r="C33" t="s">
        <v>143</v>
      </c>
      <c r="D33" t="s">
        <v>73</v>
      </c>
      <c r="E33" t="s">
        <v>73</v>
      </c>
      <c r="F33" t="s">
        <v>144</v>
      </c>
      <c r="G33" t="s">
        <v>58</v>
      </c>
      <c r="H33" s="6">
        <v>1</v>
      </c>
      <c r="I33" s="6">
        <v>1540</v>
      </c>
      <c r="J33" s="6">
        <v>0.05</v>
      </c>
      <c r="K33" s="6">
        <v>1540</v>
      </c>
      <c r="L33" s="6">
        <v>77</v>
      </c>
      <c r="M33" s="6">
        <v>1463</v>
      </c>
      <c r="N33" t="s">
        <v>62</v>
      </c>
      <c r="O33" t="s">
        <v>24</v>
      </c>
      <c r="P33" t="s">
        <v>25</v>
      </c>
      <c r="Q33" t="s">
        <v>48</v>
      </c>
      <c r="R33" t="str">
        <f>IF(M33&gt;=50000,"High","Low")</f>
        <v>Low</v>
      </c>
      <c r="S33" t="str">
        <f>IF(M33&gt;=50000,"High",IF(M33&gt;=25000,"Medium","Low"))</f>
        <v>Low</v>
      </c>
    </row>
    <row r="34" spans="1:19" x14ac:dyDescent="0.25">
      <c r="A34" t="s">
        <v>209</v>
      </c>
      <c r="B34" s="2">
        <v>46087</v>
      </c>
      <c r="C34" t="s">
        <v>132</v>
      </c>
      <c r="D34" t="s">
        <v>73</v>
      </c>
      <c r="E34" t="s">
        <v>73</v>
      </c>
      <c r="F34" t="s">
        <v>144</v>
      </c>
      <c r="G34" t="s">
        <v>58</v>
      </c>
      <c r="H34" s="6">
        <v>1</v>
      </c>
      <c r="I34" s="6">
        <v>1590</v>
      </c>
      <c r="J34" s="6">
        <v>0.1</v>
      </c>
      <c r="K34" s="6">
        <v>1590</v>
      </c>
      <c r="L34" s="6">
        <v>159</v>
      </c>
      <c r="M34" s="6">
        <v>1431</v>
      </c>
      <c r="N34" t="s">
        <v>31</v>
      </c>
      <c r="O34" t="s">
        <v>41</v>
      </c>
      <c r="P34" t="s">
        <v>25</v>
      </c>
      <c r="Q34" t="s">
        <v>48</v>
      </c>
      <c r="R34" t="str">
        <f>IF(M34&gt;=50000,"High","Low")</f>
        <v>Low</v>
      </c>
      <c r="S34" t="str">
        <f>IF(M34&gt;=50000,"High",IF(M34&gt;=25000,"Medium","Low"))</f>
        <v>Low</v>
      </c>
    </row>
    <row r="35" spans="1:19" x14ac:dyDescent="0.25">
      <c r="A35" t="s">
        <v>117</v>
      </c>
      <c r="B35" s="2">
        <v>46167</v>
      </c>
      <c r="C35" t="s">
        <v>118</v>
      </c>
      <c r="D35" t="s">
        <v>106</v>
      </c>
      <c r="E35" t="s">
        <v>107</v>
      </c>
      <c r="F35" t="s">
        <v>101</v>
      </c>
      <c r="G35" t="s">
        <v>58</v>
      </c>
      <c r="H35" s="6">
        <v>1</v>
      </c>
      <c r="I35" s="6">
        <v>1620</v>
      </c>
      <c r="J35" s="6">
        <v>0.2</v>
      </c>
      <c r="K35" s="6">
        <v>1620</v>
      </c>
      <c r="L35" s="6">
        <v>324</v>
      </c>
      <c r="M35" s="6">
        <v>1296</v>
      </c>
      <c r="N35" t="s">
        <v>31</v>
      </c>
      <c r="O35" t="s">
        <v>41</v>
      </c>
      <c r="P35" t="s">
        <v>82</v>
      </c>
      <c r="Q35" t="s">
        <v>42</v>
      </c>
      <c r="R35" t="str">
        <f>IF(M35&gt;=50000,"High","Low")</f>
        <v>Low</v>
      </c>
      <c r="S35" t="str">
        <f>IF(M35&gt;=50000,"High",IF(M35&gt;=25000,"Medium","Low"))</f>
        <v>Low</v>
      </c>
    </row>
    <row r="36" spans="1:19" x14ac:dyDescent="0.25">
      <c r="A36" t="s">
        <v>176</v>
      </c>
      <c r="B36" s="2">
        <v>46152</v>
      </c>
      <c r="C36" t="s">
        <v>177</v>
      </c>
      <c r="D36" t="s">
        <v>38</v>
      </c>
      <c r="E36" t="s">
        <v>20</v>
      </c>
      <c r="F36" t="s">
        <v>144</v>
      </c>
      <c r="G36" t="s">
        <v>58</v>
      </c>
      <c r="H36" s="6">
        <v>4</v>
      </c>
      <c r="I36" s="6">
        <v>1650</v>
      </c>
      <c r="J36" s="6">
        <v>0</v>
      </c>
      <c r="K36" s="6">
        <v>6600</v>
      </c>
      <c r="L36" s="6">
        <v>0</v>
      </c>
      <c r="M36" s="6">
        <v>6600</v>
      </c>
      <c r="N36" t="s">
        <v>62</v>
      </c>
      <c r="O36" t="s">
        <v>47</v>
      </c>
      <c r="P36" t="s">
        <v>25</v>
      </c>
      <c r="Q36" t="s">
        <v>48</v>
      </c>
      <c r="R36" t="str">
        <f>IF(M36&gt;=50000,"High","Low")</f>
        <v>Low</v>
      </c>
      <c r="S36" t="str">
        <f>IF(M36&gt;=50000,"High",IF(M36&gt;=25000,"Medium","Low"))</f>
        <v>Low</v>
      </c>
    </row>
    <row r="37" spans="1:19" x14ac:dyDescent="0.25">
      <c r="A37" t="s">
        <v>202</v>
      </c>
      <c r="B37" s="2">
        <v>46234</v>
      </c>
      <c r="C37" t="s">
        <v>194</v>
      </c>
      <c r="D37" t="s">
        <v>19</v>
      </c>
      <c r="E37" t="s">
        <v>20</v>
      </c>
      <c r="F37" t="s">
        <v>144</v>
      </c>
      <c r="G37" t="s">
        <v>58</v>
      </c>
      <c r="H37" s="6">
        <v>2</v>
      </c>
      <c r="I37" s="6">
        <v>1650</v>
      </c>
      <c r="J37" s="6">
        <v>0.1</v>
      </c>
      <c r="K37" s="6">
        <v>3300</v>
      </c>
      <c r="L37" s="6">
        <v>330</v>
      </c>
      <c r="M37" s="6">
        <v>2970</v>
      </c>
      <c r="N37" t="s">
        <v>62</v>
      </c>
      <c r="O37" t="s">
        <v>41</v>
      </c>
      <c r="P37" t="s">
        <v>25</v>
      </c>
      <c r="Q37" t="s">
        <v>32</v>
      </c>
      <c r="R37" t="str">
        <f>IF(M37&gt;=50000,"High","Low")</f>
        <v>Low</v>
      </c>
      <c r="S37" t="str">
        <f>IF(M37&gt;=50000,"High",IF(M37&gt;=25000,"Medium","Low"))</f>
        <v>Low</v>
      </c>
    </row>
    <row r="38" spans="1:19" x14ac:dyDescent="0.25">
      <c r="A38" t="s">
        <v>99</v>
      </c>
      <c r="B38" s="2">
        <v>46160</v>
      </c>
      <c r="C38" t="s">
        <v>100</v>
      </c>
      <c r="D38" t="s">
        <v>73</v>
      </c>
      <c r="E38" t="s">
        <v>73</v>
      </c>
      <c r="F38" t="s">
        <v>101</v>
      </c>
      <c r="G38" t="s">
        <v>58</v>
      </c>
      <c r="H38" s="6">
        <v>1</v>
      </c>
      <c r="I38" s="6">
        <v>1710</v>
      </c>
      <c r="J38" s="6">
        <v>0.05</v>
      </c>
      <c r="K38" s="6">
        <v>1710</v>
      </c>
      <c r="L38" s="6">
        <v>85.5</v>
      </c>
      <c r="M38" s="6">
        <v>1624.5</v>
      </c>
      <c r="N38" t="s">
        <v>62</v>
      </c>
      <c r="O38" t="s">
        <v>24</v>
      </c>
      <c r="P38" t="s">
        <v>25</v>
      </c>
      <c r="Q38" t="s">
        <v>63</v>
      </c>
      <c r="R38" t="str">
        <f>IF(M38&gt;=50000,"High","Low")</f>
        <v>Low</v>
      </c>
      <c r="S38" t="str">
        <f>IF(M38&gt;=50000,"High",IF(M38&gt;=25000,"Medium","Low"))</f>
        <v>Low</v>
      </c>
    </row>
    <row r="39" spans="1:19" x14ac:dyDescent="0.25">
      <c r="A39" t="s">
        <v>224</v>
      </c>
      <c r="B39" s="2">
        <v>46246</v>
      </c>
      <c r="C39" t="s">
        <v>148</v>
      </c>
      <c r="D39" t="s">
        <v>38</v>
      </c>
      <c r="E39" t="s">
        <v>20</v>
      </c>
      <c r="F39" t="s">
        <v>144</v>
      </c>
      <c r="G39" t="s">
        <v>58</v>
      </c>
      <c r="H39" s="6">
        <v>4</v>
      </c>
      <c r="I39" s="6">
        <v>1750</v>
      </c>
      <c r="J39" s="6">
        <v>0.15</v>
      </c>
      <c r="K39" s="6">
        <v>7000</v>
      </c>
      <c r="L39" s="6">
        <v>1050</v>
      </c>
      <c r="M39" s="6">
        <v>5950</v>
      </c>
      <c r="N39" t="s">
        <v>31</v>
      </c>
      <c r="O39" t="s">
        <v>59</v>
      </c>
      <c r="P39" t="s">
        <v>25</v>
      </c>
      <c r="Q39" t="s">
        <v>63</v>
      </c>
      <c r="R39" t="str">
        <f>IF(M39&gt;=50000,"High","Low")</f>
        <v>Low</v>
      </c>
      <c r="S39" t="str">
        <f>IF(M39&gt;=50000,"High",IF(M39&gt;=25000,"Medium","Low"))</f>
        <v>Low</v>
      </c>
    </row>
    <row r="40" spans="1:19" x14ac:dyDescent="0.25">
      <c r="A40" t="s">
        <v>169</v>
      </c>
      <c r="B40" s="2">
        <v>46080</v>
      </c>
      <c r="C40" t="s">
        <v>170</v>
      </c>
      <c r="D40" t="s">
        <v>29</v>
      </c>
      <c r="E40" t="s">
        <v>20</v>
      </c>
      <c r="F40" t="s">
        <v>144</v>
      </c>
      <c r="G40" t="s">
        <v>58</v>
      </c>
      <c r="H40" s="6">
        <v>1</v>
      </c>
      <c r="I40" s="6">
        <v>1760</v>
      </c>
      <c r="J40" s="6">
        <v>0.1</v>
      </c>
      <c r="K40" s="6">
        <v>1760</v>
      </c>
      <c r="L40" s="6">
        <v>176</v>
      </c>
      <c r="M40" s="6">
        <v>1584</v>
      </c>
      <c r="N40" t="s">
        <v>31</v>
      </c>
      <c r="O40" t="s">
        <v>53</v>
      </c>
      <c r="P40" t="s">
        <v>25</v>
      </c>
      <c r="Q40" t="s">
        <v>26</v>
      </c>
      <c r="R40" t="str">
        <f>IF(M40&gt;=50000,"High","Low")</f>
        <v>Low</v>
      </c>
      <c r="S40" t="str">
        <f>IF(M40&gt;=50000,"High",IF(M40&gt;=25000,"Medium","Low"))</f>
        <v>Low</v>
      </c>
    </row>
    <row r="41" spans="1:19" x14ac:dyDescent="0.25">
      <c r="A41" t="s">
        <v>167</v>
      </c>
      <c r="B41" s="2">
        <v>46217</v>
      </c>
      <c r="C41" t="s">
        <v>168</v>
      </c>
      <c r="D41" t="s">
        <v>73</v>
      </c>
      <c r="E41" t="s">
        <v>73</v>
      </c>
      <c r="F41" t="s">
        <v>101</v>
      </c>
      <c r="G41" t="s">
        <v>58</v>
      </c>
      <c r="H41" s="6">
        <v>2</v>
      </c>
      <c r="I41" s="6">
        <v>1780</v>
      </c>
      <c r="J41" s="6">
        <v>0.1</v>
      </c>
      <c r="K41" s="6">
        <v>3560</v>
      </c>
      <c r="L41" s="6">
        <v>356</v>
      </c>
      <c r="M41" s="6">
        <v>3204</v>
      </c>
      <c r="N41" t="s">
        <v>62</v>
      </c>
      <c r="O41" t="s">
        <v>47</v>
      </c>
      <c r="P41" t="s">
        <v>155</v>
      </c>
      <c r="Q41" t="s">
        <v>48</v>
      </c>
      <c r="R41" t="str">
        <f>IF(M41&gt;=50000,"High","Low")</f>
        <v>Low</v>
      </c>
      <c r="S41" t="str">
        <f>IF(M41&gt;=50000,"High",IF(M41&gt;=25000,"Medium","Low"))</f>
        <v>Low</v>
      </c>
    </row>
    <row r="42" spans="1:19" x14ac:dyDescent="0.25">
      <c r="A42" t="s">
        <v>180</v>
      </c>
      <c r="B42" s="2">
        <v>46094</v>
      </c>
      <c r="C42" t="s">
        <v>181</v>
      </c>
      <c r="D42" t="s">
        <v>35</v>
      </c>
      <c r="E42" t="s">
        <v>20</v>
      </c>
      <c r="F42" t="s">
        <v>101</v>
      </c>
      <c r="G42" t="s">
        <v>58</v>
      </c>
      <c r="H42" s="6">
        <v>2</v>
      </c>
      <c r="I42" s="6">
        <v>1920</v>
      </c>
      <c r="J42" s="6">
        <v>0</v>
      </c>
      <c r="K42" s="6">
        <v>3840</v>
      </c>
      <c r="L42" s="6">
        <v>0</v>
      </c>
      <c r="M42" s="6">
        <v>3840</v>
      </c>
      <c r="N42" t="s">
        <v>23</v>
      </c>
      <c r="O42" t="s">
        <v>41</v>
      </c>
      <c r="P42" t="s">
        <v>155</v>
      </c>
      <c r="Q42" t="s">
        <v>48</v>
      </c>
      <c r="R42" t="str">
        <f>IF(M42&gt;=50000,"High","Low")</f>
        <v>Low</v>
      </c>
      <c r="S42" t="str">
        <f>IF(M42&gt;=50000,"High",IF(M42&gt;=25000,"Medium","Low"))</f>
        <v>Low</v>
      </c>
    </row>
    <row r="43" spans="1:19" x14ac:dyDescent="0.25">
      <c r="A43" t="s">
        <v>193</v>
      </c>
      <c r="B43" s="2">
        <v>46170</v>
      </c>
      <c r="C43" t="s">
        <v>194</v>
      </c>
      <c r="D43" t="s">
        <v>106</v>
      </c>
      <c r="E43" t="s">
        <v>107</v>
      </c>
      <c r="F43" t="s">
        <v>85</v>
      </c>
      <c r="G43" t="s">
        <v>22</v>
      </c>
      <c r="H43" s="6">
        <v>1</v>
      </c>
      <c r="I43" s="6">
        <v>2450</v>
      </c>
      <c r="J43" s="6">
        <v>0</v>
      </c>
      <c r="K43" s="6">
        <v>2450</v>
      </c>
      <c r="L43" s="6">
        <v>0</v>
      </c>
      <c r="M43" s="6">
        <v>2450</v>
      </c>
      <c r="N43" t="s">
        <v>31</v>
      </c>
      <c r="O43" t="s">
        <v>41</v>
      </c>
      <c r="P43" t="s">
        <v>25</v>
      </c>
      <c r="Q43" t="s">
        <v>42</v>
      </c>
      <c r="R43" t="str">
        <f>IF(M43&gt;=50000,"High","Low")</f>
        <v>Low</v>
      </c>
      <c r="S43" t="str">
        <f>IF(M43&gt;=50000,"High",IF(M43&gt;=25000,"Medium","Low"))</f>
        <v>Low</v>
      </c>
    </row>
    <row r="44" spans="1:19" x14ac:dyDescent="0.25">
      <c r="A44" t="s">
        <v>83</v>
      </c>
      <c r="B44" s="2">
        <v>46084</v>
      </c>
      <c r="C44" t="s">
        <v>84</v>
      </c>
      <c r="D44" t="s">
        <v>29</v>
      </c>
      <c r="E44" t="s">
        <v>20</v>
      </c>
      <c r="F44" t="s">
        <v>85</v>
      </c>
      <c r="G44" t="s">
        <v>22</v>
      </c>
      <c r="H44" s="6">
        <v>3</v>
      </c>
      <c r="I44" s="6">
        <v>2690</v>
      </c>
      <c r="J44" s="6">
        <v>0.1</v>
      </c>
      <c r="K44" s="6">
        <v>8070</v>
      </c>
      <c r="L44" s="6">
        <v>807</v>
      </c>
      <c r="M44" s="6">
        <v>7263</v>
      </c>
      <c r="N44" t="s">
        <v>31</v>
      </c>
      <c r="O44" t="s">
        <v>24</v>
      </c>
      <c r="P44" t="s">
        <v>25</v>
      </c>
      <c r="Q44" t="s">
        <v>26</v>
      </c>
      <c r="R44" t="str">
        <f>IF(M44&gt;=50000,"High","Low")</f>
        <v>Low</v>
      </c>
      <c r="S44" t="str">
        <f>IF(M44&gt;=50000,"High",IF(M44&gt;=25000,"Medium","Low"))</f>
        <v>Low</v>
      </c>
    </row>
    <row r="45" spans="1:19" x14ac:dyDescent="0.25">
      <c r="A45" t="s">
        <v>173</v>
      </c>
      <c r="B45" s="2">
        <v>46171</v>
      </c>
      <c r="C45" t="s">
        <v>174</v>
      </c>
      <c r="D45" t="s">
        <v>45</v>
      </c>
      <c r="E45" t="s">
        <v>46</v>
      </c>
      <c r="F45" t="s">
        <v>85</v>
      </c>
      <c r="G45" t="s">
        <v>22</v>
      </c>
      <c r="H45" s="6">
        <v>2</v>
      </c>
      <c r="I45" s="6">
        <v>2730</v>
      </c>
      <c r="J45" s="6">
        <v>0</v>
      </c>
      <c r="K45" s="6">
        <v>5460</v>
      </c>
      <c r="L45" s="6">
        <v>0</v>
      </c>
      <c r="M45" s="6">
        <v>5460</v>
      </c>
      <c r="N45" t="s">
        <v>23</v>
      </c>
      <c r="O45" t="s">
        <v>24</v>
      </c>
      <c r="P45" t="s">
        <v>25</v>
      </c>
      <c r="Q45" t="s">
        <v>48</v>
      </c>
      <c r="R45" t="str">
        <f>IF(M45&gt;=50000,"High","Low")</f>
        <v>Low</v>
      </c>
      <c r="S45" t="str">
        <f>IF(M45&gt;=50000,"High",IF(M45&gt;=25000,"Medium","Low"))</f>
        <v>Low</v>
      </c>
    </row>
    <row r="46" spans="1:19" x14ac:dyDescent="0.25">
      <c r="A46" t="s">
        <v>67</v>
      </c>
      <c r="B46" s="2">
        <v>46243</v>
      </c>
      <c r="C46" t="s">
        <v>68</v>
      </c>
      <c r="D46" t="s">
        <v>69</v>
      </c>
      <c r="E46" t="s">
        <v>20</v>
      </c>
      <c r="F46" t="s">
        <v>70</v>
      </c>
      <c r="G46" t="s">
        <v>22</v>
      </c>
      <c r="H46" s="6">
        <v>4</v>
      </c>
      <c r="I46" s="6">
        <v>2940</v>
      </c>
      <c r="J46" s="6">
        <v>0</v>
      </c>
      <c r="K46" s="6">
        <v>11760</v>
      </c>
      <c r="L46" s="6">
        <v>0</v>
      </c>
      <c r="M46" s="6">
        <v>11760</v>
      </c>
      <c r="N46" t="s">
        <v>23</v>
      </c>
      <c r="O46" t="s">
        <v>47</v>
      </c>
      <c r="P46" t="s">
        <v>25</v>
      </c>
      <c r="Q46" t="s">
        <v>48</v>
      </c>
      <c r="R46" t="str">
        <f>IF(M46&gt;=50000,"High","Low")</f>
        <v>Low</v>
      </c>
      <c r="S46" t="str">
        <f>IF(M46&gt;=50000,"High",IF(M46&gt;=25000,"Medium","Low"))</f>
        <v>Low</v>
      </c>
    </row>
    <row r="47" spans="1:19" x14ac:dyDescent="0.25">
      <c r="A47" t="s">
        <v>153</v>
      </c>
      <c r="B47" s="2">
        <v>46137</v>
      </c>
      <c r="C47" t="s">
        <v>154</v>
      </c>
      <c r="D47" t="s">
        <v>106</v>
      </c>
      <c r="E47" t="s">
        <v>107</v>
      </c>
      <c r="F47" t="s">
        <v>74</v>
      </c>
      <c r="G47" t="s">
        <v>22</v>
      </c>
      <c r="H47" s="6">
        <v>5</v>
      </c>
      <c r="I47" s="6">
        <v>2960</v>
      </c>
      <c r="J47" s="6">
        <v>0.2</v>
      </c>
      <c r="K47" s="6">
        <v>14800</v>
      </c>
      <c r="L47" s="6">
        <v>2960</v>
      </c>
      <c r="M47" s="6">
        <v>11840</v>
      </c>
      <c r="N47" t="s">
        <v>62</v>
      </c>
      <c r="O47" t="s">
        <v>53</v>
      </c>
      <c r="P47" t="s">
        <v>155</v>
      </c>
      <c r="Q47" t="s">
        <v>42</v>
      </c>
      <c r="R47" t="str">
        <f>IF(M47&gt;=50000,"High","Low")</f>
        <v>Low</v>
      </c>
      <c r="S47" t="str">
        <f>IF(M47&gt;=50000,"High",IF(M47&gt;=25000,"Medium","Low"))</f>
        <v>Low</v>
      </c>
    </row>
    <row r="48" spans="1:19" x14ac:dyDescent="0.25">
      <c r="A48" t="s">
        <v>229</v>
      </c>
      <c r="B48" s="2">
        <v>46059</v>
      </c>
      <c r="C48" t="s">
        <v>230</v>
      </c>
      <c r="D48" t="s">
        <v>73</v>
      </c>
      <c r="E48" t="s">
        <v>73</v>
      </c>
      <c r="F48" t="s">
        <v>74</v>
      </c>
      <c r="G48" t="s">
        <v>22</v>
      </c>
      <c r="H48" s="6">
        <v>2</v>
      </c>
      <c r="I48" s="6">
        <v>3000</v>
      </c>
      <c r="J48" s="6">
        <v>0.2</v>
      </c>
      <c r="K48" s="6">
        <v>6000</v>
      </c>
      <c r="L48" s="6">
        <v>1200</v>
      </c>
      <c r="M48" s="6">
        <v>4800</v>
      </c>
      <c r="N48" t="s">
        <v>62</v>
      </c>
      <c r="O48" t="s">
        <v>47</v>
      </c>
      <c r="P48" t="s">
        <v>25</v>
      </c>
      <c r="Q48" t="s">
        <v>48</v>
      </c>
      <c r="R48" t="str">
        <f>IF(M48&gt;=50000,"High","Low")</f>
        <v>Low</v>
      </c>
      <c r="S48" t="str">
        <f>IF(M48&gt;=50000,"High",IF(M48&gt;=25000,"Medium","Low"))</f>
        <v>Low</v>
      </c>
    </row>
    <row r="49" spans="1:19" x14ac:dyDescent="0.25">
      <c r="A49" t="s">
        <v>71</v>
      </c>
      <c r="B49" s="2">
        <v>46243</v>
      </c>
      <c r="C49" t="s">
        <v>72</v>
      </c>
      <c r="D49" t="s">
        <v>73</v>
      </c>
      <c r="E49" t="s">
        <v>73</v>
      </c>
      <c r="F49" t="s">
        <v>74</v>
      </c>
      <c r="G49" t="s">
        <v>22</v>
      </c>
      <c r="H49" s="6">
        <v>4</v>
      </c>
      <c r="I49" s="6">
        <v>3020</v>
      </c>
      <c r="J49" s="6">
        <v>0.2</v>
      </c>
      <c r="K49" s="6">
        <v>12080</v>
      </c>
      <c r="L49" s="6">
        <v>2416</v>
      </c>
      <c r="M49" s="6">
        <v>9664</v>
      </c>
      <c r="N49" t="s">
        <v>62</v>
      </c>
      <c r="O49" t="s">
        <v>59</v>
      </c>
      <c r="P49" t="s">
        <v>75</v>
      </c>
      <c r="Q49" t="s">
        <v>26</v>
      </c>
      <c r="R49" t="str">
        <f>IF(M49&gt;=50000,"High","Low")</f>
        <v>Low</v>
      </c>
      <c r="S49" t="str">
        <f>IF(M49&gt;=50000,"High",IF(M49&gt;=25000,"Medium","Low"))</f>
        <v>Low</v>
      </c>
    </row>
    <row r="50" spans="1:19" x14ac:dyDescent="0.25">
      <c r="A50" t="s">
        <v>236</v>
      </c>
      <c r="B50" s="2">
        <v>46183</v>
      </c>
      <c r="C50" t="s">
        <v>237</v>
      </c>
      <c r="D50" t="s">
        <v>56</v>
      </c>
      <c r="E50" t="s">
        <v>20</v>
      </c>
      <c r="F50" t="s">
        <v>74</v>
      </c>
      <c r="G50" t="s">
        <v>22</v>
      </c>
      <c r="H50" s="6">
        <v>3</v>
      </c>
      <c r="I50" s="6">
        <v>3110</v>
      </c>
      <c r="J50" s="6">
        <v>0.05</v>
      </c>
      <c r="K50" s="6">
        <v>9330</v>
      </c>
      <c r="L50" s="6">
        <v>466.5</v>
      </c>
      <c r="M50" s="6">
        <v>8863.5</v>
      </c>
      <c r="N50" t="s">
        <v>62</v>
      </c>
      <c r="O50" t="s">
        <v>47</v>
      </c>
      <c r="P50" t="s">
        <v>25</v>
      </c>
      <c r="Q50" t="s">
        <v>32</v>
      </c>
      <c r="R50" t="str">
        <f>IF(M50&gt;=50000,"High","Low")</f>
        <v>Low</v>
      </c>
      <c r="S50" t="str">
        <f>IF(M50&gt;=50000,"High",IF(M50&gt;=25000,"Medium","Low"))</f>
        <v>Low</v>
      </c>
    </row>
    <row r="51" spans="1:19" x14ac:dyDescent="0.25">
      <c r="A51" t="s">
        <v>136</v>
      </c>
      <c r="B51" s="2">
        <v>46071</v>
      </c>
      <c r="C51" t="s">
        <v>137</v>
      </c>
      <c r="D51" t="s">
        <v>45</v>
      </c>
      <c r="E51" t="s">
        <v>46</v>
      </c>
      <c r="F51" t="s">
        <v>70</v>
      </c>
      <c r="G51" t="s">
        <v>22</v>
      </c>
      <c r="H51" s="6">
        <v>1</v>
      </c>
      <c r="I51" s="6">
        <v>3130</v>
      </c>
      <c r="J51" s="6">
        <v>0.2</v>
      </c>
      <c r="K51" s="6">
        <v>3130</v>
      </c>
      <c r="L51" s="6">
        <v>626</v>
      </c>
      <c r="M51" s="6">
        <v>2504</v>
      </c>
      <c r="N51" t="s">
        <v>23</v>
      </c>
      <c r="O51" t="s">
        <v>41</v>
      </c>
      <c r="P51" t="s">
        <v>25</v>
      </c>
      <c r="Q51" t="s">
        <v>63</v>
      </c>
      <c r="R51" t="str">
        <f>IF(M51&gt;=50000,"High","Low")</f>
        <v>Low</v>
      </c>
      <c r="S51" t="str">
        <f>IF(M51&gt;=50000,"High",IF(M51&gt;=25000,"Medium","Low"))</f>
        <v>Low</v>
      </c>
    </row>
    <row r="52" spans="1:19" x14ac:dyDescent="0.25">
      <c r="A52" t="s">
        <v>214</v>
      </c>
      <c r="B52" s="2">
        <v>46143</v>
      </c>
      <c r="C52" t="s">
        <v>215</v>
      </c>
      <c r="D52" t="s">
        <v>35</v>
      </c>
      <c r="E52" t="s">
        <v>20</v>
      </c>
      <c r="F52" t="s">
        <v>70</v>
      </c>
      <c r="G52" t="s">
        <v>22</v>
      </c>
      <c r="H52" s="6">
        <v>3</v>
      </c>
      <c r="I52" s="6">
        <v>3150</v>
      </c>
      <c r="J52" s="6">
        <v>0.15</v>
      </c>
      <c r="K52" s="6">
        <v>9450</v>
      </c>
      <c r="L52" s="6">
        <v>1417.5</v>
      </c>
      <c r="M52" s="6">
        <v>8032.5</v>
      </c>
      <c r="N52" t="s">
        <v>62</v>
      </c>
      <c r="O52" t="s">
        <v>53</v>
      </c>
      <c r="P52" t="s">
        <v>25</v>
      </c>
      <c r="Q52" t="s">
        <v>32</v>
      </c>
      <c r="R52" t="str">
        <f>IF(M52&gt;=50000,"High","Low")</f>
        <v>Low</v>
      </c>
      <c r="S52" t="str">
        <f>IF(M52&gt;=50000,"High",IF(M52&gt;=25000,"Medium","Low"))</f>
        <v>Low</v>
      </c>
    </row>
    <row r="53" spans="1:19" x14ac:dyDescent="0.25">
      <c r="A53" t="s">
        <v>205</v>
      </c>
      <c r="B53" s="2">
        <v>46177</v>
      </c>
      <c r="C53" t="s">
        <v>103</v>
      </c>
      <c r="D53" t="s">
        <v>19</v>
      </c>
      <c r="E53" t="s">
        <v>20</v>
      </c>
      <c r="F53" t="s">
        <v>74</v>
      </c>
      <c r="G53" t="s">
        <v>22</v>
      </c>
      <c r="H53" s="6">
        <v>1</v>
      </c>
      <c r="I53" s="6">
        <v>3230</v>
      </c>
      <c r="J53" s="6">
        <v>0.1</v>
      </c>
      <c r="K53" s="6">
        <v>3230</v>
      </c>
      <c r="L53" s="6">
        <v>323</v>
      </c>
      <c r="M53" s="6">
        <v>2907</v>
      </c>
      <c r="N53" t="s">
        <v>23</v>
      </c>
      <c r="O53" t="s">
        <v>41</v>
      </c>
      <c r="P53" t="s">
        <v>25</v>
      </c>
      <c r="Q53" t="s">
        <v>32</v>
      </c>
      <c r="R53" t="str">
        <f>IF(M53&gt;=50000,"High","Low")</f>
        <v>Low</v>
      </c>
      <c r="S53" t="str">
        <f>IF(M53&gt;=50000,"High",IF(M53&gt;=25000,"Medium","Low"))</f>
        <v>Low</v>
      </c>
    </row>
    <row r="54" spans="1:19" x14ac:dyDescent="0.25">
      <c r="A54" t="s">
        <v>145</v>
      </c>
      <c r="B54" s="2">
        <v>46191</v>
      </c>
      <c r="C54" t="s">
        <v>146</v>
      </c>
      <c r="D54" t="s">
        <v>56</v>
      </c>
      <c r="E54" t="s">
        <v>20</v>
      </c>
      <c r="F54" t="s">
        <v>70</v>
      </c>
      <c r="G54" t="s">
        <v>22</v>
      </c>
      <c r="H54" s="6">
        <v>4</v>
      </c>
      <c r="I54" s="6">
        <v>3390</v>
      </c>
      <c r="J54" s="6">
        <v>0.05</v>
      </c>
      <c r="K54" s="6">
        <v>13560</v>
      </c>
      <c r="L54" s="6">
        <v>678</v>
      </c>
      <c r="M54" s="6">
        <v>12882</v>
      </c>
      <c r="N54" t="s">
        <v>62</v>
      </c>
      <c r="O54" t="s">
        <v>47</v>
      </c>
      <c r="P54" t="s">
        <v>25</v>
      </c>
      <c r="Q54" t="s">
        <v>63</v>
      </c>
      <c r="R54" t="str">
        <f>IF(M54&gt;=50000,"High","Low")</f>
        <v>Low</v>
      </c>
      <c r="S54" t="str">
        <f>IF(M54&gt;=50000,"High",IF(M54&gt;=25000,"Medium","Low"))</f>
        <v>Low</v>
      </c>
    </row>
    <row r="55" spans="1:19" x14ac:dyDescent="0.25">
      <c r="A55" t="s">
        <v>115</v>
      </c>
      <c r="B55" s="2">
        <v>46194</v>
      </c>
      <c r="C55" t="s">
        <v>116</v>
      </c>
      <c r="D55" t="s">
        <v>45</v>
      </c>
      <c r="E55" t="s">
        <v>46</v>
      </c>
      <c r="F55" t="s">
        <v>70</v>
      </c>
      <c r="G55" t="s">
        <v>22</v>
      </c>
      <c r="H55" s="6">
        <v>3</v>
      </c>
      <c r="I55" s="6">
        <v>3480</v>
      </c>
      <c r="J55" s="6">
        <v>0.05</v>
      </c>
      <c r="K55" s="6">
        <v>10440</v>
      </c>
      <c r="L55" s="6">
        <v>522</v>
      </c>
      <c r="M55" s="6">
        <v>9918</v>
      </c>
      <c r="N55" t="s">
        <v>62</v>
      </c>
      <c r="O55" t="s">
        <v>53</v>
      </c>
      <c r="P55" t="s">
        <v>25</v>
      </c>
      <c r="Q55" t="s">
        <v>42</v>
      </c>
      <c r="R55" t="str">
        <f>IF(M55&gt;=50000,"High","Low")</f>
        <v>Low</v>
      </c>
      <c r="S55" t="str">
        <f>IF(M55&gt;=50000,"High",IF(M55&gt;=25000,"Medium","Low"))</f>
        <v>Low</v>
      </c>
    </row>
    <row r="56" spans="1:19" x14ac:dyDescent="0.25">
      <c r="A56" t="s">
        <v>126</v>
      </c>
      <c r="B56" s="2">
        <v>46172</v>
      </c>
      <c r="C56" t="s">
        <v>100</v>
      </c>
      <c r="D56" t="s">
        <v>19</v>
      </c>
      <c r="E56" t="s">
        <v>20</v>
      </c>
      <c r="F56" t="s">
        <v>66</v>
      </c>
      <c r="G56" t="s">
        <v>22</v>
      </c>
      <c r="H56" s="6">
        <v>5</v>
      </c>
      <c r="I56" s="6">
        <v>4080</v>
      </c>
      <c r="J56" s="6">
        <v>0.1</v>
      </c>
      <c r="K56" s="6">
        <v>20400</v>
      </c>
      <c r="L56" s="6">
        <v>2040</v>
      </c>
      <c r="M56" s="6">
        <v>18360</v>
      </c>
      <c r="N56" t="s">
        <v>31</v>
      </c>
      <c r="O56" t="s">
        <v>59</v>
      </c>
      <c r="P56" t="s">
        <v>25</v>
      </c>
      <c r="Q56" t="s">
        <v>42</v>
      </c>
      <c r="R56" t="str">
        <f>IF(M56&gt;=50000,"High","Low")</f>
        <v>Low</v>
      </c>
      <c r="S56" t="str">
        <f>IF(M56&gt;=50000,"High",IF(M56&gt;=25000,"Medium","Low"))</f>
        <v>Low</v>
      </c>
    </row>
    <row r="57" spans="1:19" x14ac:dyDescent="0.25">
      <c r="A57" t="s">
        <v>171</v>
      </c>
      <c r="B57" s="2">
        <v>46167</v>
      </c>
      <c r="C57" t="s">
        <v>172</v>
      </c>
      <c r="D57" t="s">
        <v>45</v>
      </c>
      <c r="E57" t="s">
        <v>46</v>
      </c>
      <c r="F57" t="s">
        <v>66</v>
      </c>
      <c r="G57" t="s">
        <v>22</v>
      </c>
      <c r="H57" s="6">
        <v>2</v>
      </c>
      <c r="I57" s="6">
        <v>4160</v>
      </c>
      <c r="J57" s="6">
        <v>0</v>
      </c>
      <c r="K57" s="6">
        <v>8320</v>
      </c>
      <c r="L57" s="6">
        <v>0</v>
      </c>
      <c r="M57" s="6">
        <v>8320</v>
      </c>
      <c r="N57" t="s">
        <v>62</v>
      </c>
      <c r="O57" t="s">
        <v>53</v>
      </c>
      <c r="P57" t="s">
        <v>75</v>
      </c>
      <c r="Q57" t="s">
        <v>32</v>
      </c>
      <c r="R57" t="str">
        <f>IF(M57&gt;=50000,"High","Low")</f>
        <v>Low</v>
      </c>
      <c r="S57" t="str">
        <f>IF(M57&gt;=50000,"High",IF(M57&gt;=25000,"Medium","Low"))</f>
        <v>Low</v>
      </c>
    </row>
    <row r="58" spans="1:19" x14ac:dyDescent="0.25">
      <c r="A58" t="s">
        <v>216</v>
      </c>
      <c r="B58" s="2">
        <v>46110</v>
      </c>
      <c r="C58" t="s">
        <v>217</v>
      </c>
      <c r="D58" t="s">
        <v>88</v>
      </c>
      <c r="E58" t="s">
        <v>89</v>
      </c>
      <c r="F58" t="s">
        <v>66</v>
      </c>
      <c r="G58" t="s">
        <v>22</v>
      </c>
      <c r="H58" s="6">
        <v>1</v>
      </c>
      <c r="I58" s="6">
        <v>4300</v>
      </c>
      <c r="J58" s="6">
        <v>0.15</v>
      </c>
      <c r="K58" s="6">
        <v>4300</v>
      </c>
      <c r="L58" s="6">
        <v>645</v>
      </c>
      <c r="M58" s="6">
        <v>3655</v>
      </c>
      <c r="N58" t="s">
        <v>31</v>
      </c>
      <c r="O58" t="s">
        <v>59</v>
      </c>
      <c r="P58" t="s">
        <v>75</v>
      </c>
      <c r="Q58" t="s">
        <v>42</v>
      </c>
      <c r="R58" t="str">
        <f>IF(M58&gt;=50000,"High","Low")</f>
        <v>Low</v>
      </c>
      <c r="S58" t="str">
        <f>IF(M58&gt;=50000,"High",IF(M58&gt;=25000,"Medium","Low"))</f>
        <v>Low</v>
      </c>
    </row>
    <row r="59" spans="1:19" x14ac:dyDescent="0.25">
      <c r="A59" t="s">
        <v>158</v>
      </c>
      <c r="B59" s="2">
        <v>46203</v>
      </c>
      <c r="C59" t="s">
        <v>159</v>
      </c>
      <c r="D59" t="s">
        <v>69</v>
      </c>
      <c r="E59" t="s">
        <v>20</v>
      </c>
      <c r="F59" t="s">
        <v>66</v>
      </c>
      <c r="G59" t="s">
        <v>22</v>
      </c>
      <c r="H59" s="6">
        <v>2</v>
      </c>
      <c r="I59" s="6">
        <v>4390</v>
      </c>
      <c r="J59" s="6">
        <v>0.05</v>
      </c>
      <c r="K59" s="6">
        <v>8780</v>
      </c>
      <c r="L59" s="6">
        <v>439</v>
      </c>
      <c r="M59" s="6">
        <v>8341</v>
      </c>
      <c r="N59" t="s">
        <v>62</v>
      </c>
      <c r="O59" t="s">
        <v>41</v>
      </c>
      <c r="P59" t="s">
        <v>25</v>
      </c>
      <c r="Q59" t="s">
        <v>48</v>
      </c>
      <c r="R59" t="str">
        <f>IF(M59&gt;=50000,"High","Low")</f>
        <v>Low</v>
      </c>
      <c r="S59" t="str">
        <f>IF(M59&gt;=50000,"High",IF(M59&gt;=25000,"Medium","Low"))</f>
        <v>Low</v>
      </c>
    </row>
    <row r="60" spans="1:19" x14ac:dyDescent="0.25">
      <c r="A60" t="s">
        <v>86</v>
      </c>
      <c r="B60" s="2">
        <v>46065</v>
      </c>
      <c r="C60" t="s">
        <v>87</v>
      </c>
      <c r="D60" t="s">
        <v>88</v>
      </c>
      <c r="E60" t="s">
        <v>89</v>
      </c>
      <c r="F60" t="s">
        <v>66</v>
      </c>
      <c r="G60" t="s">
        <v>22</v>
      </c>
      <c r="H60" s="6">
        <v>2</v>
      </c>
      <c r="I60" s="6">
        <v>4640</v>
      </c>
      <c r="J60" s="6">
        <v>0.2</v>
      </c>
      <c r="K60" s="6">
        <v>9280</v>
      </c>
      <c r="L60" s="6">
        <v>1856</v>
      </c>
      <c r="M60" s="6">
        <v>7424</v>
      </c>
      <c r="N60" t="s">
        <v>31</v>
      </c>
      <c r="O60" t="s">
        <v>41</v>
      </c>
      <c r="P60" t="s">
        <v>25</v>
      </c>
      <c r="Q60" t="s">
        <v>63</v>
      </c>
      <c r="R60" t="str">
        <f>IF(M60&gt;=50000,"High","Low")</f>
        <v>Low</v>
      </c>
      <c r="S60" t="str">
        <f>IF(M60&gt;=50000,"High",IF(M60&gt;=25000,"Medium","Low"))</f>
        <v>Low</v>
      </c>
    </row>
    <row r="61" spans="1:19" x14ac:dyDescent="0.25">
      <c r="A61" t="s">
        <v>64</v>
      </c>
      <c r="B61" s="2">
        <v>46090</v>
      </c>
      <c r="C61" t="s">
        <v>65</v>
      </c>
      <c r="D61" t="s">
        <v>35</v>
      </c>
      <c r="E61" t="s">
        <v>20</v>
      </c>
      <c r="F61" t="s">
        <v>66</v>
      </c>
      <c r="G61" t="s">
        <v>22</v>
      </c>
      <c r="H61" s="6">
        <v>2</v>
      </c>
      <c r="I61" s="6">
        <v>4720</v>
      </c>
      <c r="J61" s="6">
        <v>0.2</v>
      </c>
      <c r="K61" s="6">
        <v>9440</v>
      </c>
      <c r="L61" s="6">
        <v>1888</v>
      </c>
      <c r="M61" s="6">
        <v>7552</v>
      </c>
      <c r="N61" t="s">
        <v>62</v>
      </c>
      <c r="O61" t="s">
        <v>59</v>
      </c>
      <c r="P61" t="s">
        <v>25</v>
      </c>
      <c r="Q61" t="s">
        <v>63</v>
      </c>
      <c r="R61" t="str">
        <f>IF(M61&gt;=50000,"High","Low")</f>
        <v>Low</v>
      </c>
      <c r="S61" t="str">
        <f>IF(M61&gt;=50000,"High",IF(M61&gt;=25000,"Medium","Low"))</f>
        <v>Low</v>
      </c>
    </row>
    <row r="62" spans="1:19" x14ac:dyDescent="0.25">
      <c r="A62" t="s">
        <v>238</v>
      </c>
      <c r="B62" s="2">
        <v>46214</v>
      </c>
      <c r="C62" t="s">
        <v>239</v>
      </c>
      <c r="D62" t="s">
        <v>38</v>
      </c>
      <c r="E62" t="s">
        <v>20</v>
      </c>
      <c r="F62" t="s">
        <v>66</v>
      </c>
      <c r="G62" t="s">
        <v>22</v>
      </c>
      <c r="H62" s="6">
        <v>1</v>
      </c>
      <c r="I62" s="6">
        <v>4870</v>
      </c>
      <c r="J62" s="6">
        <v>0.1</v>
      </c>
      <c r="K62" s="6">
        <v>4870</v>
      </c>
      <c r="L62" s="6">
        <v>487</v>
      </c>
      <c r="M62" s="6">
        <v>4383</v>
      </c>
      <c r="N62" t="s">
        <v>23</v>
      </c>
      <c r="O62" t="s">
        <v>59</v>
      </c>
      <c r="P62" t="s">
        <v>25</v>
      </c>
      <c r="Q62" t="s">
        <v>32</v>
      </c>
      <c r="R62" t="str">
        <f>IF(M62&gt;=50000,"High","Low")</f>
        <v>Low</v>
      </c>
      <c r="S62" t="str">
        <f>IF(M62&gt;=50000,"High",IF(M62&gt;=25000,"Medium","Low"))</f>
        <v>Low</v>
      </c>
    </row>
    <row r="63" spans="1:19" x14ac:dyDescent="0.25">
      <c r="A63" t="s">
        <v>222</v>
      </c>
      <c r="B63" s="2">
        <v>46151</v>
      </c>
      <c r="C63" t="s">
        <v>34</v>
      </c>
      <c r="D63" t="s">
        <v>73</v>
      </c>
      <c r="E63" t="s">
        <v>73</v>
      </c>
      <c r="F63" t="s">
        <v>66</v>
      </c>
      <c r="G63" t="s">
        <v>22</v>
      </c>
      <c r="H63" s="6">
        <v>4</v>
      </c>
      <c r="I63" s="6">
        <v>4920</v>
      </c>
      <c r="J63" s="6">
        <v>0.05</v>
      </c>
      <c r="K63" s="6">
        <v>19680</v>
      </c>
      <c r="L63" s="6">
        <v>984</v>
      </c>
      <c r="M63" s="6">
        <v>18696</v>
      </c>
      <c r="N63" t="s">
        <v>62</v>
      </c>
      <c r="O63" t="s">
        <v>47</v>
      </c>
      <c r="P63" t="s">
        <v>82</v>
      </c>
      <c r="Q63" t="s">
        <v>32</v>
      </c>
      <c r="R63" t="str">
        <f>IF(M63&gt;=50000,"High","Low")</f>
        <v>Low</v>
      </c>
      <c r="S63" t="str">
        <f>IF(M63&gt;=50000,"High",IF(M63&gt;=25000,"Medium","Low"))</f>
        <v>Low</v>
      </c>
    </row>
    <row r="64" spans="1:19" x14ac:dyDescent="0.25">
      <c r="A64" t="s">
        <v>241</v>
      </c>
      <c r="B64" s="2">
        <v>46026</v>
      </c>
      <c r="C64" t="s">
        <v>242</v>
      </c>
      <c r="D64" t="s">
        <v>56</v>
      </c>
      <c r="E64" t="s">
        <v>20</v>
      </c>
      <c r="F64" t="s">
        <v>92</v>
      </c>
      <c r="G64" t="s">
        <v>40</v>
      </c>
      <c r="H64" s="6">
        <v>5</v>
      </c>
      <c r="I64" s="6">
        <v>6330</v>
      </c>
      <c r="J64" s="6">
        <v>0.15</v>
      </c>
      <c r="K64" s="6">
        <v>31650</v>
      </c>
      <c r="L64" s="6">
        <v>4747.5</v>
      </c>
      <c r="M64" s="6">
        <v>26902.5</v>
      </c>
      <c r="N64" t="s">
        <v>62</v>
      </c>
      <c r="O64" t="s">
        <v>59</v>
      </c>
      <c r="P64" t="s">
        <v>25</v>
      </c>
      <c r="Q64" t="s">
        <v>32</v>
      </c>
      <c r="R64" t="str">
        <f>IF(M64&gt;=50000,"High","Low")</f>
        <v>Low</v>
      </c>
      <c r="S64" t="str">
        <f>IF(M64&gt;=50000,"High",IF(M64&gt;=25000,"Medium","Low"))</f>
        <v>Medium</v>
      </c>
    </row>
    <row r="65" spans="1:19" x14ac:dyDescent="0.25">
      <c r="A65" t="s">
        <v>149</v>
      </c>
      <c r="B65" s="2">
        <v>46190</v>
      </c>
      <c r="C65" t="s">
        <v>37</v>
      </c>
      <c r="D65" t="s">
        <v>56</v>
      </c>
      <c r="E65" t="s">
        <v>20</v>
      </c>
      <c r="F65" t="s">
        <v>92</v>
      </c>
      <c r="G65" t="s">
        <v>40</v>
      </c>
      <c r="H65" s="6">
        <v>4</v>
      </c>
      <c r="I65" s="6">
        <v>6370</v>
      </c>
      <c r="J65" s="6">
        <v>0.05</v>
      </c>
      <c r="K65" s="6">
        <v>25480</v>
      </c>
      <c r="L65" s="6">
        <v>1274</v>
      </c>
      <c r="M65" s="6">
        <v>24206</v>
      </c>
      <c r="N65" t="s">
        <v>31</v>
      </c>
      <c r="O65" t="s">
        <v>53</v>
      </c>
      <c r="P65" t="s">
        <v>25</v>
      </c>
      <c r="Q65" t="s">
        <v>32</v>
      </c>
      <c r="R65" t="str">
        <f>IF(M65&gt;=50000,"High","Low")</f>
        <v>Low</v>
      </c>
      <c r="S65" t="str">
        <f>IF(M65&gt;=50000,"High",IF(M65&gt;=25000,"Medium","Low"))</f>
        <v>Low</v>
      </c>
    </row>
    <row r="66" spans="1:19" x14ac:dyDescent="0.25">
      <c r="A66" t="s">
        <v>90</v>
      </c>
      <c r="B66" s="2">
        <v>46138</v>
      </c>
      <c r="C66" t="s">
        <v>91</v>
      </c>
      <c r="D66" t="s">
        <v>35</v>
      </c>
      <c r="E66" t="s">
        <v>20</v>
      </c>
      <c r="F66" t="s">
        <v>92</v>
      </c>
      <c r="G66" t="s">
        <v>40</v>
      </c>
      <c r="H66" s="6">
        <v>3</v>
      </c>
      <c r="I66" s="6">
        <v>6420</v>
      </c>
      <c r="J66" s="6">
        <v>0.2</v>
      </c>
      <c r="K66" s="6">
        <v>19260</v>
      </c>
      <c r="L66" s="6">
        <v>3852</v>
      </c>
      <c r="M66" s="6">
        <v>15408</v>
      </c>
      <c r="N66" t="s">
        <v>62</v>
      </c>
      <c r="O66" t="s">
        <v>47</v>
      </c>
      <c r="P66" t="s">
        <v>25</v>
      </c>
      <c r="Q66" t="s">
        <v>32</v>
      </c>
      <c r="R66" t="str">
        <f>IF(M66&gt;=50000,"High","Low")</f>
        <v>Low</v>
      </c>
      <c r="S66" t="str">
        <f>IF(M66&gt;=50000,"High",IF(M66&gt;=25000,"Medium","Low"))</f>
        <v>Low</v>
      </c>
    </row>
    <row r="67" spans="1:19" x14ac:dyDescent="0.25">
      <c r="A67" t="s">
        <v>111</v>
      </c>
      <c r="B67" s="2">
        <v>46063</v>
      </c>
      <c r="C67" t="s">
        <v>77</v>
      </c>
      <c r="D67" t="s">
        <v>29</v>
      </c>
      <c r="E67" t="s">
        <v>20</v>
      </c>
      <c r="F67" t="s">
        <v>112</v>
      </c>
      <c r="G67" t="s">
        <v>22</v>
      </c>
      <c r="H67" s="6">
        <v>4</v>
      </c>
      <c r="I67" s="6">
        <v>6500</v>
      </c>
      <c r="J67" s="6">
        <v>0.2</v>
      </c>
      <c r="K67" s="6">
        <v>26000</v>
      </c>
      <c r="L67" s="6">
        <v>5200</v>
      </c>
      <c r="M67" s="6">
        <v>20800</v>
      </c>
      <c r="N67" t="s">
        <v>31</v>
      </c>
      <c r="O67" t="s">
        <v>47</v>
      </c>
      <c r="P67" t="s">
        <v>25</v>
      </c>
      <c r="Q67" t="s">
        <v>32</v>
      </c>
      <c r="R67" t="str">
        <f>IF(M67&gt;=50000,"High","Low")</f>
        <v>Low</v>
      </c>
      <c r="S67" t="str">
        <f>IF(M67&gt;=50000,"High",IF(M67&gt;=25000,"Medium","Low"))</f>
        <v>Low</v>
      </c>
    </row>
    <row r="68" spans="1:19" x14ac:dyDescent="0.25">
      <c r="A68" t="s">
        <v>140</v>
      </c>
      <c r="B68" s="2">
        <v>46130</v>
      </c>
      <c r="C68" t="s">
        <v>141</v>
      </c>
      <c r="D68" t="s">
        <v>38</v>
      </c>
      <c r="E68" t="s">
        <v>20</v>
      </c>
      <c r="F68" t="s">
        <v>92</v>
      </c>
      <c r="G68" t="s">
        <v>40</v>
      </c>
      <c r="H68" s="6">
        <v>3</v>
      </c>
      <c r="I68" s="6">
        <v>6570</v>
      </c>
      <c r="J68" s="6">
        <v>0.05</v>
      </c>
      <c r="K68" s="6">
        <v>19710</v>
      </c>
      <c r="L68" s="6">
        <v>985.5</v>
      </c>
      <c r="M68" s="6">
        <v>18724.5</v>
      </c>
      <c r="N68" t="s">
        <v>23</v>
      </c>
      <c r="O68" t="s">
        <v>41</v>
      </c>
      <c r="P68" t="s">
        <v>25</v>
      </c>
      <c r="Q68" t="s">
        <v>42</v>
      </c>
      <c r="R68" t="str">
        <f>IF(M68&gt;=50000,"High","Low")</f>
        <v>Low</v>
      </c>
      <c r="S68" t="str">
        <f>IF(M68&gt;=50000,"High",IF(M68&gt;=25000,"Medium","Low"))</f>
        <v>Low</v>
      </c>
    </row>
    <row r="69" spans="1:19" x14ac:dyDescent="0.25">
      <c r="A69" t="s">
        <v>218</v>
      </c>
      <c r="B69" s="2">
        <v>46160</v>
      </c>
      <c r="C69" t="s">
        <v>219</v>
      </c>
      <c r="D69" t="s">
        <v>45</v>
      </c>
      <c r="E69" t="s">
        <v>46</v>
      </c>
      <c r="F69" t="s">
        <v>112</v>
      </c>
      <c r="G69" t="s">
        <v>22</v>
      </c>
      <c r="H69" s="6">
        <v>4</v>
      </c>
      <c r="I69" s="6">
        <v>6970</v>
      </c>
      <c r="J69" s="6">
        <v>0.15</v>
      </c>
      <c r="K69" s="6">
        <v>27880</v>
      </c>
      <c r="L69" s="6">
        <v>4182</v>
      </c>
      <c r="M69" s="6">
        <v>23698</v>
      </c>
      <c r="N69" t="s">
        <v>23</v>
      </c>
      <c r="O69" t="s">
        <v>24</v>
      </c>
      <c r="P69" t="s">
        <v>25</v>
      </c>
      <c r="Q69" t="s">
        <v>48</v>
      </c>
      <c r="R69" t="str">
        <f>IF(M69&gt;=50000,"High","Low")</f>
        <v>Low</v>
      </c>
      <c r="S69" t="str">
        <f>IF(M69&gt;=50000,"High",IF(M69&gt;=25000,"Medium","Low"))</f>
        <v>Low</v>
      </c>
    </row>
    <row r="70" spans="1:19" x14ac:dyDescent="0.25">
      <c r="A70" t="s">
        <v>234</v>
      </c>
      <c r="B70" s="2">
        <v>46236</v>
      </c>
      <c r="C70" t="s">
        <v>235</v>
      </c>
      <c r="D70" t="s">
        <v>29</v>
      </c>
      <c r="E70" t="s">
        <v>20</v>
      </c>
      <c r="F70" t="s">
        <v>112</v>
      </c>
      <c r="G70" t="s">
        <v>22</v>
      </c>
      <c r="H70" s="6">
        <v>1</v>
      </c>
      <c r="I70" s="6">
        <v>7030</v>
      </c>
      <c r="J70" s="6">
        <v>0.15</v>
      </c>
      <c r="K70" s="6">
        <v>7030</v>
      </c>
      <c r="L70" s="6">
        <v>1054.5</v>
      </c>
      <c r="M70" s="6">
        <v>5975.5</v>
      </c>
      <c r="N70" t="s">
        <v>23</v>
      </c>
      <c r="O70" t="s">
        <v>59</v>
      </c>
      <c r="P70" t="s">
        <v>75</v>
      </c>
      <c r="Q70" t="s">
        <v>63</v>
      </c>
      <c r="R70" t="str">
        <f>IF(M70&gt;=50000,"High","Low")</f>
        <v>Low</v>
      </c>
      <c r="S70" t="str">
        <f>IF(M70&gt;=50000,"High",IF(M70&gt;=25000,"Medium","Low"))</f>
        <v>Low</v>
      </c>
    </row>
    <row r="71" spans="1:19" x14ac:dyDescent="0.25">
      <c r="A71" t="s">
        <v>43</v>
      </c>
      <c r="B71" s="2">
        <v>46034</v>
      </c>
      <c r="C71" t="s">
        <v>44</v>
      </c>
      <c r="D71" t="s">
        <v>45</v>
      </c>
      <c r="E71" t="s">
        <v>46</v>
      </c>
      <c r="F71" t="s">
        <v>39</v>
      </c>
      <c r="G71" t="s">
        <v>40</v>
      </c>
      <c r="H71" s="6">
        <v>5</v>
      </c>
      <c r="I71" s="6">
        <v>7980</v>
      </c>
      <c r="J71" s="6">
        <v>0</v>
      </c>
      <c r="K71" s="6">
        <v>39900</v>
      </c>
      <c r="L71" s="6">
        <v>0</v>
      </c>
      <c r="M71" s="6">
        <v>39900</v>
      </c>
      <c r="N71" t="s">
        <v>31</v>
      </c>
      <c r="O71" t="s">
        <v>47</v>
      </c>
      <c r="P71" t="s">
        <v>25</v>
      </c>
      <c r="Q71" t="s">
        <v>48</v>
      </c>
      <c r="R71" t="str">
        <f>IF(M71&gt;=50000,"High","Low")</f>
        <v>Low</v>
      </c>
      <c r="S71" t="str">
        <f>IF(M71&gt;=50000,"High",IF(M71&gt;=25000,"Medium","Low"))</f>
        <v>Medium</v>
      </c>
    </row>
    <row r="72" spans="1:19" x14ac:dyDescent="0.25">
      <c r="A72" t="s">
        <v>36</v>
      </c>
      <c r="B72" s="2">
        <v>46209</v>
      </c>
      <c r="C72" t="s">
        <v>37</v>
      </c>
      <c r="D72" t="s">
        <v>38</v>
      </c>
      <c r="E72" t="s">
        <v>20</v>
      </c>
      <c r="F72" t="s">
        <v>39</v>
      </c>
      <c r="G72" t="s">
        <v>40</v>
      </c>
      <c r="H72" s="6">
        <v>5</v>
      </c>
      <c r="I72" s="6">
        <v>8100</v>
      </c>
      <c r="J72" s="6">
        <v>0</v>
      </c>
      <c r="K72" s="6">
        <v>40500</v>
      </c>
      <c r="L72" s="6">
        <v>0</v>
      </c>
      <c r="M72" s="6">
        <v>40500</v>
      </c>
      <c r="N72" t="s">
        <v>31</v>
      </c>
      <c r="O72" t="s">
        <v>41</v>
      </c>
      <c r="P72" t="s">
        <v>25</v>
      </c>
      <c r="Q72" t="s">
        <v>42</v>
      </c>
      <c r="R72" t="str">
        <f>IF(M72&gt;=50000,"High","Low")</f>
        <v>Low</v>
      </c>
      <c r="S72" t="str">
        <f>IF(M72&gt;=50000,"High",IF(M72&gt;=25000,"Medium","Low"))</f>
        <v>Medium</v>
      </c>
    </row>
    <row r="73" spans="1:19" x14ac:dyDescent="0.25">
      <c r="A73" t="s">
        <v>227</v>
      </c>
      <c r="B73" s="2">
        <v>46158</v>
      </c>
      <c r="C73" t="s">
        <v>228</v>
      </c>
      <c r="D73" t="s">
        <v>35</v>
      </c>
      <c r="E73" t="s">
        <v>20</v>
      </c>
      <c r="F73" t="s">
        <v>39</v>
      </c>
      <c r="G73" t="s">
        <v>40</v>
      </c>
      <c r="H73" s="6">
        <v>3</v>
      </c>
      <c r="I73" s="6">
        <v>8380</v>
      </c>
      <c r="J73" s="6">
        <v>0.05</v>
      </c>
      <c r="K73" s="6">
        <v>25140</v>
      </c>
      <c r="L73" s="6">
        <v>1257</v>
      </c>
      <c r="M73" s="6">
        <v>23883</v>
      </c>
      <c r="N73" t="s">
        <v>31</v>
      </c>
      <c r="O73" t="s">
        <v>47</v>
      </c>
      <c r="P73" t="s">
        <v>25</v>
      </c>
      <c r="Q73" t="s">
        <v>32</v>
      </c>
      <c r="R73" t="str">
        <f>IF(M73&gt;=50000,"High","Low")</f>
        <v>Low</v>
      </c>
      <c r="S73" t="str">
        <f>IF(M73&gt;=50000,"High",IF(M73&gt;=25000,"Medium","Low"))</f>
        <v>Low</v>
      </c>
    </row>
    <row r="74" spans="1:19" x14ac:dyDescent="0.25">
      <c r="A74" t="s">
        <v>206</v>
      </c>
      <c r="B74" s="2">
        <v>46143</v>
      </c>
      <c r="C74" t="s">
        <v>172</v>
      </c>
      <c r="D74" t="s">
        <v>29</v>
      </c>
      <c r="E74" t="s">
        <v>20</v>
      </c>
      <c r="F74" t="s">
        <v>133</v>
      </c>
      <c r="G74" t="s">
        <v>22</v>
      </c>
      <c r="H74" s="6">
        <v>5</v>
      </c>
      <c r="I74" s="6">
        <v>8630</v>
      </c>
      <c r="J74" s="6">
        <v>0.05</v>
      </c>
      <c r="K74" s="6">
        <v>43150</v>
      </c>
      <c r="L74" s="6">
        <v>2157.5</v>
      </c>
      <c r="M74" s="6">
        <v>40992.5</v>
      </c>
      <c r="N74" t="s">
        <v>31</v>
      </c>
      <c r="O74" t="s">
        <v>41</v>
      </c>
      <c r="P74" t="s">
        <v>25</v>
      </c>
      <c r="Q74" t="s">
        <v>48</v>
      </c>
      <c r="R74" t="str">
        <f>IF(M74&gt;=50000,"High","Low")</f>
        <v>Low</v>
      </c>
      <c r="S74" t="str">
        <f>IF(M74&gt;=50000,"High",IF(M74&gt;=25000,"Medium","Low"))</f>
        <v>Medium</v>
      </c>
    </row>
    <row r="75" spans="1:19" x14ac:dyDescent="0.25">
      <c r="A75" t="s">
        <v>243</v>
      </c>
      <c r="B75" s="2">
        <v>46029</v>
      </c>
      <c r="C75" t="s">
        <v>244</v>
      </c>
      <c r="D75" t="s">
        <v>73</v>
      </c>
      <c r="E75" t="s">
        <v>73</v>
      </c>
      <c r="F75" t="s">
        <v>39</v>
      </c>
      <c r="G75" t="s">
        <v>40</v>
      </c>
      <c r="H75" s="6">
        <v>1</v>
      </c>
      <c r="I75" s="6">
        <v>8800</v>
      </c>
      <c r="J75" s="6">
        <v>0.15</v>
      </c>
      <c r="K75" s="6">
        <v>8800</v>
      </c>
      <c r="L75" s="6">
        <v>1320</v>
      </c>
      <c r="M75" s="6">
        <v>7480</v>
      </c>
      <c r="N75" t="s">
        <v>23</v>
      </c>
      <c r="O75" t="s">
        <v>53</v>
      </c>
      <c r="P75" t="s">
        <v>25</v>
      </c>
      <c r="Q75" t="s">
        <v>26</v>
      </c>
      <c r="R75" t="str">
        <f>IF(M75&gt;=50000,"High","Low")</f>
        <v>Low</v>
      </c>
      <c r="S75" t="str">
        <f>IF(M75&gt;=50000,"High",IF(M75&gt;=25000,"Medium","Low"))</f>
        <v>Low</v>
      </c>
    </row>
    <row r="76" spans="1:19" x14ac:dyDescent="0.25">
      <c r="A76" t="s">
        <v>127</v>
      </c>
      <c r="B76" s="2">
        <v>46113</v>
      </c>
      <c r="C76" t="s">
        <v>65</v>
      </c>
      <c r="D76" t="s">
        <v>29</v>
      </c>
      <c r="E76" t="s">
        <v>20</v>
      </c>
      <c r="F76" t="s">
        <v>39</v>
      </c>
      <c r="G76" t="s">
        <v>40</v>
      </c>
      <c r="H76" s="6">
        <v>2</v>
      </c>
      <c r="I76" s="6">
        <v>8810</v>
      </c>
      <c r="J76" s="6">
        <v>0</v>
      </c>
      <c r="K76" s="6">
        <v>17620</v>
      </c>
      <c r="L76" s="6">
        <v>0</v>
      </c>
      <c r="M76" s="6">
        <v>17620</v>
      </c>
      <c r="N76" t="s">
        <v>23</v>
      </c>
      <c r="O76" t="s">
        <v>53</v>
      </c>
      <c r="P76" t="s">
        <v>25</v>
      </c>
      <c r="Q76" t="s">
        <v>63</v>
      </c>
      <c r="R76" t="str">
        <f>IF(M76&gt;=50000,"High","Low")</f>
        <v>Low</v>
      </c>
      <c r="S76" t="str">
        <f>IF(M76&gt;=50000,"High",IF(M76&gt;=25000,"Medium","Low"))</f>
        <v>Low</v>
      </c>
    </row>
    <row r="77" spans="1:19" x14ac:dyDescent="0.25">
      <c r="A77" t="s">
        <v>240</v>
      </c>
      <c r="B77" s="2">
        <v>46229</v>
      </c>
      <c r="C77" t="s">
        <v>34</v>
      </c>
      <c r="D77" t="s">
        <v>88</v>
      </c>
      <c r="E77" t="s">
        <v>89</v>
      </c>
      <c r="F77" t="s">
        <v>133</v>
      </c>
      <c r="G77" t="s">
        <v>22</v>
      </c>
      <c r="H77" s="6">
        <v>2</v>
      </c>
      <c r="I77" s="6">
        <v>9040</v>
      </c>
      <c r="J77" s="6">
        <v>0.15</v>
      </c>
      <c r="K77" s="6">
        <v>18080</v>
      </c>
      <c r="L77" s="6">
        <v>2712</v>
      </c>
      <c r="M77" s="6">
        <v>15368</v>
      </c>
      <c r="N77" t="s">
        <v>62</v>
      </c>
      <c r="O77" t="s">
        <v>47</v>
      </c>
      <c r="P77" t="s">
        <v>25</v>
      </c>
      <c r="Q77" t="s">
        <v>63</v>
      </c>
      <c r="R77" t="str">
        <f>IF(M77&gt;=50000,"High","Low")</f>
        <v>Low</v>
      </c>
      <c r="S77" t="str">
        <f>IF(M77&gt;=50000,"High",IF(M77&gt;=25000,"Medium","Low"))</f>
        <v>Low</v>
      </c>
    </row>
    <row r="78" spans="1:19" x14ac:dyDescent="0.25">
      <c r="A78" t="s">
        <v>119</v>
      </c>
      <c r="B78" s="2">
        <v>46095</v>
      </c>
      <c r="C78" t="s">
        <v>120</v>
      </c>
      <c r="D78" t="s">
        <v>69</v>
      </c>
      <c r="E78" t="s">
        <v>20</v>
      </c>
      <c r="F78" t="s">
        <v>39</v>
      </c>
      <c r="G78" t="s">
        <v>40</v>
      </c>
      <c r="H78" s="6">
        <v>1</v>
      </c>
      <c r="I78" s="6">
        <v>9140</v>
      </c>
      <c r="J78" s="6">
        <v>0.1</v>
      </c>
      <c r="K78" s="6">
        <v>9140</v>
      </c>
      <c r="L78" s="6">
        <v>914</v>
      </c>
      <c r="M78" s="6">
        <v>8226</v>
      </c>
      <c r="N78" t="s">
        <v>23</v>
      </c>
      <c r="O78" t="s">
        <v>41</v>
      </c>
      <c r="P78" t="s">
        <v>25</v>
      </c>
      <c r="Q78" t="s">
        <v>26</v>
      </c>
      <c r="R78" t="str">
        <f>IF(M78&gt;=50000,"High","Low")</f>
        <v>Low</v>
      </c>
      <c r="S78" t="str">
        <f>IF(M78&gt;=50000,"High",IF(M78&gt;=25000,"Medium","Low"))</f>
        <v>Low</v>
      </c>
    </row>
    <row r="79" spans="1:19" x14ac:dyDescent="0.25">
      <c r="A79" t="s">
        <v>131</v>
      </c>
      <c r="B79" s="2">
        <v>46112</v>
      </c>
      <c r="C79" t="s">
        <v>132</v>
      </c>
      <c r="D79" t="s">
        <v>38</v>
      </c>
      <c r="E79" t="s">
        <v>20</v>
      </c>
      <c r="F79" t="s">
        <v>133</v>
      </c>
      <c r="G79" t="s">
        <v>22</v>
      </c>
      <c r="H79" s="6">
        <v>1</v>
      </c>
      <c r="I79" s="6">
        <v>10390</v>
      </c>
      <c r="J79" s="6">
        <v>0.1</v>
      </c>
      <c r="K79" s="6">
        <v>10390</v>
      </c>
      <c r="L79" s="6">
        <v>1039</v>
      </c>
      <c r="M79" s="6">
        <v>9351</v>
      </c>
      <c r="N79" t="s">
        <v>62</v>
      </c>
      <c r="O79" t="s">
        <v>47</v>
      </c>
      <c r="P79" t="s">
        <v>25</v>
      </c>
      <c r="Q79" t="s">
        <v>26</v>
      </c>
      <c r="R79" t="str">
        <f>IF(M79&gt;=50000,"High","Low")</f>
        <v>Low</v>
      </c>
      <c r="S79" t="str">
        <f>IF(M79&gt;=50000,"High",IF(M79&gt;=25000,"Medium","Low"))</f>
        <v>Low</v>
      </c>
    </row>
    <row r="80" spans="1:19" x14ac:dyDescent="0.25">
      <c r="A80" t="s">
        <v>113</v>
      </c>
      <c r="B80" s="2">
        <v>46086</v>
      </c>
      <c r="C80" t="s">
        <v>114</v>
      </c>
      <c r="D80" t="s">
        <v>19</v>
      </c>
      <c r="E80" t="s">
        <v>20</v>
      </c>
      <c r="F80" t="s">
        <v>94</v>
      </c>
      <c r="G80" t="s">
        <v>22</v>
      </c>
      <c r="H80" s="6">
        <v>4</v>
      </c>
      <c r="I80" s="6">
        <v>11090</v>
      </c>
      <c r="J80" s="6">
        <v>0.2</v>
      </c>
      <c r="K80" s="6">
        <v>44360</v>
      </c>
      <c r="L80" s="6">
        <v>8872</v>
      </c>
      <c r="M80" s="6">
        <v>35488</v>
      </c>
      <c r="N80" t="s">
        <v>31</v>
      </c>
      <c r="O80" t="s">
        <v>24</v>
      </c>
      <c r="P80" t="s">
        <v>25</v>
      </c>
      <c r="Q80" t="s">
        <v>32</v>
      </c>
      <c r="R80" t="str">
        <f>IF(M80&gt;=50000,"High","Low")</f>
        <v>Low</v>
      </c>
      <c r="S80" t="str">
        <f>IF(M80&gt;=50000,"High",IF(M80&gt;=25000,"Medium","Low"))</f>
        <v>Medium</v>
      </c>
    </row>
    <row r="81" spans="1:19" x14ac:dyDescent="0.25">
      <c r="A81" t="s">
        <v>147</v>
      </c>
      <c r="B81" s="2">
        <v>46085</v>
      </c>
      <c r="C81" t="s">
        <v>148</v>
      </c>
      <c r="D81" t="s">
        <v>35</v>
      </c>
      <c r="E81" t="s">
        <v>20</v>
      </c>
      <c r="F81" t="s">
        <v>94</v>
      </c>
      <c r="G81" t="s">
        <v>22</v>
      </c>
      <c r="H81" s="6">
        <v>2</v>
      </c>
      <c r="I81" s="6">
        <v>11150</v>
      </c>
      <c r="J81" s="6">
        <v>0</v>
      </c>
      <c r="K81" s="6">
        <v>22300</v>
      </c>
      <c r="L81" s="6">
        <v>0</v>
      </c>
      <c r="M81" s="6">
        <v>22300</v>
      </c>
      <c r="N81" t="s">
        <v>62</v>
      </c>
      <c r="O81" t="s">
        <v>24</v>
      </c>
      <c r="P81" t="s">
        <v>82</v>
      </c>
      <c r="Q81" t="s">
        <v>32</v>
      </c>
      <c r="R81" t="str">
        <f>IF(M81&gt;=50000,"High","Low")</f>
        <v>Low</v>
      </c>
      <c r="S81" t="str">
        <f>IF(M81&gt;=50000,"High",IF(M81&gt;=25000,"Medium","Low"))</f>
        <v>Low</v>
      </c>
    </row>
    <row r="82" spans="1:19" x14ac:dyDescent="0.25">
      <c r="A82" t="s">
        <v>189</v>
      </c>
      <c r="B82" s="2">
        <v>46204</v>
      </c>
      <c r="C82" t="s">
        <v>190</v>
      </c>
      <c r="D82" t="s">
        <v>35</v>
      </c>
      <c r="E82" t="s">
        <v>20</v>
      </c>
      <c r="F82" t="s">
        <v>94</v>
      </c>
      <c r="G82" t="s">
        <v>22</v>
      </c>
      <c r="H82" s="6">
        <v>3</v>
      </c>
      <c r="I82" s="6">
        <v>11230</v>
      </c>
      <c r="J82" s="6">
        <v>0</v>
      </c>
      <c r="K82" s="6">
        <v>33690</v>
      </c>
      <c r="L82" s="6">
        <v>0</v>
      </c>
      <c r="M82" s="6">
        <v>33690</v>
      </c>
      <c r="N82" t="s">
        <v>31</v>
      </c>
      <c r="O82" t="s">
        <v>41</v>
      </c>
      <c r="P82" t="s">
        <v>25</v>
      </c>
      <c r="Q82" t="s">
        <v>42</v>
      </c>
      <c r="R82" t="str">
        <f>IF(M82&gt;=50000,"High","Low")</f>
        <v>Low</v>
      </c>
      <c r="S82" t="str">
        <f>IF(M82&gt;=50000,"High",IF(M82&gt;=25000,"Medium","Low"))</f>
        <v>Medium</v>
      </c>
    </row>
    <row r="83" spans="1:19" x14ac:dyDescent="0.25">
      <c r="A83" t="s">
        <v>93</v>
      </c>
      <c r="B83" s="2">
        <v>46204</v>
      </c>
      <c r="C83" t="s">
        <v>91</v>
      </c>
      <c r="D83" t="s">
        <v>88</v>
      </c>
      <c r="E83" t="s">
        <v>89</v>
      </c>
      <c r="F83" t="s">
        <v>94</v>
      </c>
      <c r="G83" t="s">
        <v>22</v>
      </c>
      <c r="H83" s="6">
        <v>5</v>
      </c>
      <c r="I83" s="6">
        <v>11330</v>
      </c>
      <c r="J83" s="6">
        <v>0</v>
      </c>
      <c r="K83" s="6">
        <v>56650</v>
      </c>
      <c r="L83" s="6">
        <v>0</v>
      </c>
      <c r="M83" s="6">
        <v>56650</v>
      </c>
      <c r="N83" t="s">
        <v>31</v>
      </c>
      <c r="O83" t="s">
        <v>59</v>
      </c>
      <c r="P83" t="s">
        <v>25</v>
      </c>
      <c r="Q83" t="s">
        <v>26</v>
      </c>
      <c r="R83" t="str">
        <f>IF(M83&gt;=50000,"High","Low")</f>
        <v>High</v>
      </c>
      <c r="S83" t="str">
        <f>IF(M83&gt;=50000,"High",IF(M83&gt;=25000,"Medium","Low"))</f>
        <v>High</v>
      </c>
    </row>
    <row r="84" spans="1:19" x14ac:dyDescent="0.25">
      <c r="A84" t="s">
        <v>195</v>
      </c>
      <c r="B84" s="2">
        <v>46178</v>
      </c>
      <c r="C84" t="s">
        <v>196</v>
      </c>
      <c r="D84" t="s">
        <v>19</v>
      </c>
      <c r="E84" t="s">
        <v>20</v>
      </c>
      <c r="F84" t="s">
        <v>94</v>
      </c>
      <c r="G84" t="s">
        <v>22</v>
      </c>
      <c r="H84" s="6">
        <v>1</v>
      </c>
      <c r="I84" s="6">
        <v>12140</v>
      </c>
      <c r="J84" s="6">
        <v>0.15</v>
      </c>
      <c r="K84" s="6">
        <v>12140</v>
      </c>
      <c r="L84" s="6">
        <v>1821</v>
      </c>
      <c r="M84" s="6">
        <v>10319</v>
      </c>
      <c r="N84" t="s">
        <v>23</v>
      </c>
      <c r="O84" t="s">
        <v>24</v>
      </c>
      <c r="P84" t="s">
        <v>25</v>
      </c>
      <c r="Q84" t="s">
        <v>48</v>
      </c>
      <c r="R84" t="str">
        <f>IF(M84&gt;=50000,"High","Low")</f>
        <v>Low</v>
      </c>
      <c r="S84" t="str">
        <f>IF(M84&gt;=50000,"High",IF(M84&gt;=25000,"Medium","Low"))</f>
        <v>Low</v>
      </c>
    </row>
    <row r="85" spans="1:19" x14ac:dyDescent="0.25">
      <c r="A85" t="s">
        <v>95</v>
      </c>
      <c r="B85" s="2">
        <v>46161</v>
      </c>
      <c r="C85" t="s">
        <v>96</v>
      </c>
      <c r="D85" t="s">
        <v>88</v>
      </c>
      <c r="E85" t="s">
        <v>89</v>
      </c>
      <c r="F85" t="s">
        <v>94</v>
      </c>
      <c r="G85" t="s">
        <v>22</v>
      </c>
      <c r="H85" s="6">
        <v>3</v>
      </c>
      <c r="I85" s="6">
        <v>12410</v>
      </c>
      <c r="J85" s="6">
        <v>0.05</v>
      </c>
      <c r="K85" s="6">
        <v>37230</v>
      </c>
      <c r="L85" s="6">
        <v>1861.5</v>
      </c>
      <c r="M85" s="6">
        <v>35368.5</v>
      </c>
      <c r="N85" t="s">
        <v>62</v>
      </c>
      <c r="O85" t="s">
        <v>53</v>
      </c>
      <c r="P85" t="s">
        <v>25</v>
      </c>
      <c r="Q85" t="s">
        <v>48</v>
      </c>
      <c r="R85" t="str">
        <f>IF(M85&gt;=50000,"High","Low")</f>
        <v>Low</v>
      </c>
      <c r="S85" t="str">
        <f>IF(M85&gt;=50000,"High",IF(M85&gt;=25000,"Medium","Low"))</f>
        <v>Medium</v>
      </c>
    </row>
    <row r="86" spans="1:19" x14ac:dyDescent="0.25">
      <c r="A86" t="s">
        <v>27</v>
      </c>
      <c r="B86" s="2">
        <v>46029</v>
      </c>
      <c r="C86" t="s">
        <v>28</v>
      </c>
      <c r="D86" t="s">
        <v>29</v>
      </c>
      <c r="E86" t="s">
        <v>20</v>
      </c>
      <c r="F86" t="s">
        <v>30</v>
      </c>
      <c r="G86" t="s">
        <v>22</v>
      </c>
      <c r="H86" s="6">
        <v>2</v>
      </c>
      <c r="I86" s="6">
        <v>17040</v>
      </c>
      <c r="J86" s="6">
        <v>0.2</v>
      </c>
      <c r="K86" s="6">
        <v>34080</v>
      </c>
      <c r="L86" s="6">
        <v>6816</v>
      </c>
      <c r="M86" s="6">
        <v>27264</v>
      </c>
      <c r="N86" t="s">
        <v>31</v>
      </c>
      <c r="O86" t="s">
        <v>24</v>
      </c>
      <c r="P86" t="s">
        <v>25</v>
      </c>
      <c r="Q86" t="s">
        <v>32</v>
      </c>
      <c r="R86" t="str">
        <f>IF(M86&gt;=50000,"High","Low")</f>
        <v>Low</v>
      </c>
      <c r="S86" t="str">
        <f>IF(M86&gt;=50000,"High",IF(M86&gt;=25000,"Medium","Low"))</f>
        <v>Medium</v>
      </c>
    </row>
    <row r="87" spans="1:19" x14ac:dyDescent="0.25">
      <c r="A87" t="s">
        <v>207</v>
      </c>
      <c r="B87" s="2">
        <v>46105</v>
      </c>
      <c r="C87" t="s">
        <v>208</v>
      </c>
      <c r="D87" t="s">
        <v>106</v>
      </c>
      <c r="E87" t="s">
        <v>107</v>
      </c>
      <c r="F87" t="s">
        <v>30</v>
      </c>
      <c r="G87" t="s">
        <v>22</v>
      </c>
      <c r="H87" s="6">
        <v>4</v>
      </c>
      <c r="I87" s="6">
        <v>17450</v>
      </c>
      <c r="J87" s="6">
        <v>0.1</v>
      </c>
      <c r="K87" s="6">
        <v>69800</v>
      </c>
      <c r="L87" s="6">
        <v>6980</v>
      </c>
      <c r="M87" s="6">
        <v>62820</v>
      </c>
      <c r="N87" t="s">
        <v>62</v>
      </c>
      <c r="O87" t="s">
        <v>24</v>
      </c>
      <c r="P87" t="s">
        <v>25</v>
      </c>
      <c r="Q87" t="s">
        <v>42</v>
      </c>
      <c r="R87" t="str">
        <f>IF(M87&gt;=50000,"High","Low")</f>
        <v>High</v>
      </c>
      <c r="S87" t="str">
        <f>IF(M87&gt;=50000,"High",IF(M87&gt;=25000,"Medium","Low"))</f>
        <v>High</v>
      </c>
    </row>
    <row r="88" spans="1:19" x14ac:dyDescent="0.25">
      <c r="A88" t="s">
        <v>175</v>
      </c>
      <c r="B88" s="2">
        <v>46049</v>
      </c>
      <c r="C88" t="s">
        <v>174</v>
      </c>
      <c r="D88" t="s">
        <v>56</v>
      </c>
      <c r="E88" t="s">
        <v>20</v>
      </c>
      <c r="F88" t="s">
        <v>30</v>
      </c>
      <c r="G88" t="s">
        <v>22</v>
      </c>
      <c r="H88" s="6">
        <v>5</v>
      </c>
      <c r="I88" s="6">
        <v>18690</v>
      </c>
      <c r="J88" s="6">
        <v>0.05</v>
      </c>
      <c r="K88" s="6">
        <v>93450</v>
      </c>
      <c r="L88" s="6">
        <v>4672.5</v>
      </c>
      <c r="M88" s="6">
        <v>88777.5</v>
      </c>
      <c r="N88" t="s">
        <v>31</v>
      </c>
      <c r="O88" t="s">
        <v>41</v>
      </c>
      <c r="P88" t="s">
        <v>25</v>
      </c>
      <c r="Q88" t="s">
        <v>26</v>
      </c>
      <c r="R88" t="str">
        <f>IF(M88&gt;=50000,"High","Low")</f>
        <v>High</v>
      </c>
      <c r="S88" t="str">
        <f>IF(M88&gt;=50000,"High",IF(M88&gt;=25000,"Medium","Low"))</f>
        <v>High</v>
      </c>
    </row>
    <row r="89" spans="1:19" x14ac:dyDescent="0.25">
      <c r="A89" t="s">
        <v>60</v>
      </c>
      <c r="B89" s="2">
        <v>46247</v>
      </c>
      <c r="C89" t="s">
        <v>61</v>
      </c>
      <c r="D89" t="s">
        <v>35</v>
      </c>
      <c r="E89" t="s">
        <v>20</v>
      </c>
      <c r="F89" t="s">
        <v>30</v>
      </c>
      <c r="G89" t="s">
        <v>22</v>
      </c>
      <c r="H89" s="6">
        <v>2</v>
      </c>
      <c r="I89" s="6">
        <v>19490</v>
      </c>
      <c r="J89" s="6">
        <v>0.2</v>
      </c>
      <c r="K89" s="6">
        <v>38980</v>
      </c>
      <c r="L89" s="6">
        <v>7796</v>
      </c>
      <c r="M89" s="6">
        <v>31184</v>
      </c>
      <c r="N89" t="s">
        <v>62</v>
      </c>
      <c r="O89" t="s">
        <v>24</v>
      </c>
      <c r="P89" t="s">
        <v>25</v>
      </c>
      <c r="Q89" t="s">
        <v>63</v>
      </c>
      <c r="R89" t="str">
        <f>IF(M89&gt;=50000,"High","Low")</f>
        <v>Low</v>
      </c>
      <c r="S89" t="str">
        <f>IF(M89&gt;=50000,"High",IF(M89&gt;=25000,"Medium","Low"))</f>
        <v>Medium</v>
      </c>
    </row>
    <row r="90" spans="1:19" x14ac:dyDescent="0.25">
      <c r="A90" t="s">
        <v>150</v>
      </c>
      <c r="B90" s="2">
        <v>46139</v>
      </c>
      <c r="C90" t="s">
        <v>151</v>
      </c>
      <c r="D90" t="s">
        <v>106</v>
      </c>
      <c r="E90" t="s">
        <v>107</v>
      </c>
      <c r="F90" t="s">
        <v>152</v>
      </c>
      <c r="G90" t="s">
        <v>22</v>
      </c>
      <c r="H90" s="6">
        <v>5</v>
      </c>
      <c r="I90" s="6">
        <v>23750</v>
      </c>
      <c r="J90" s="6">
        <v>0</v>
      </c>
      <c r="K90" s="6">
        <v>118750</v>
      </c>
      <c r="L90" s="6">
        <v>0</v>
      </c>
      <c r="M90" s="6">
        <v>118750</v>
      </c>
      <c r="N90" t="s">
        <v>23</v>
      </c>
      <c r="O90" t="s">
        <v>41</v>
      </c>
      <c r="P90" t="s">
        <v>25</v>
      </c>
      <c r="Q90" t="s">
        <v>42</v>
      </c>
      <c r="R90" t="str">
        <f>IF(M90&gt;=50000,"High","Low")</f>
        <v>High</v>
      </c>
      <c r="S90" t="str">
        <f>IF(M90&gt;=50000,"High",IF(M90&gt;=25000,"Medium","Low"))</f>
        <v>High</v>
      </c>
    </row>
    <row r="91" spans="1:19" x14ac:dyDescent="0.25">
      <c r="A91" t="s">
        <v>210</v>
      </c>
      <c r="B91" s="2">
        <v>46216</v>
      </c>
      <c r="C91" t="s">
        <v>98</v>
      </c>
      <c r="D91" t="s">
        <v>73</v>
      </c>
      <c r="E91" t="s">
        <v>73</v>
      </c>
      <c r="F91" t="s">
        <v>152</v>
      </c>
      <c r="G91" t="s">
        <v>22</v>
      </c>
      <c r="H91" s="6">
        <v>2</v>
      </c>
      <c r="I91" s="6">
        <v>25090</v>
      </c>
      <c r="J91" s="6">
        <v>0.2</v>
      </c>
      <c r="K91" s="6">
        <v>50180</v>
      </c>
      <c r="L91" s="6">
        <v>10036</v>
      </c>
      <c r="M91" s="6">
        <v>40144</v>
      </c>
      <c r="N91" t="s">
        <v>31</v>
      </c>
      <c r="O91" t="s">
        <v>59</v>
      </c>
      <c r="P91" t="s">
        <v>25</v>
      </c>
      <c r="Q91" t="s">
        <v>32</v>
      </c>
      <c r="R91" t="str">
        <f>IF(M91&gt;=50000,"High","Low")</f>
        <v>Low</v>
      </c>
      <c r="S91" t="str">
        <f>IF(M91&gt;=50000,"High",IF(M91&gt;=25000,"Medium","Low"))</f>
        <v>Medium</v>
      </c>
    </row>
    <row r="92" spans="1:19" x14ac:dyDescent="0.25">
      <c r="A92" t="s">
        <v>160</v>
      </c>
      <c r="B92" s="2">
        <v>46254</v>
      </c>
      <c r="C92" t="s">
        <v>161</v>
      </c>
      <c r="D92" t="s">
        <v>73</v>
      </c>
      <c r="E92" t="s">
        <v>73</v>
      </c>
      <c r="F92" t="s">
        <v>152</v>
      </c>
      <c r="G92" t="s">
        <v>22</v>
      </c>
      <c r="H92" s="6">
        <v>2</v>
      </c>
      <c r="I92" s="6">
        <v>26660</v>
      </c>
      <c r="J92" s="6">
        <v>0.15</v>
      </c>
      <c r="K92" s="6">
        <v>53320</v>
      </c>
      <c r="L92" s="6">
        <v>7998</v>
      </c>
      <c r="M92" s="6">
        <v>45322</v>
      </c>
      <c r="N92" t="s">
        <v>62</v>
      </c>
      <c r="O92" t="s">
        <v>24</v>
      </c>
      <c r="P92" t="s">
        <v>25</v>
      </c>
      <c r="Q92" t="s">
        <v>26</v>
      </c>
      <c r="R92" t="str">
        <f>IF(M92&gt;=50000,"High","Low")</f>
        <v>Low</v>
      </c>
      <c r="S92" t="str">
        <f>IF(M92&gt;=50000,"High",IF(M92&gt;=25000,"Medium","Low"))</f>
        <v>Medium</v>
      </c>
    </row>
    <row r="93" spans="1:19" x14ac:dyDescent="0.25">
      <c r="A93" t="s">
        <v>17</v>
      </c>
      <c r="B93" s="2">
        <v>46211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s="6">
        <v>3</v>
      </c>
      <c r="I93" s="6">
        <v>52190</v>
      </c>
      <c r="J93" s="6">
        <v>0.05</v>
      </c>
      <c r="K93" s="6">
        <v>156570</v>
      </c>
      <c r="L93" s="6">
        <v>7828.5</v>
      </c>
      <c r="M93" s="6">
        <v>148741.5</v>
      </c>
      <c r="N93" t="s">
        <v>23</v>
      </c>
      <c r="O93" t="s">
        <v>24</v>
      </c>
      <c r="P93" t="s">
        <v>25</v>
      </c>
      <c r="Q93" t="s">
        <v>26</v>
      </c>
      <c r="R93" t="str">
        <f>IF(M93&gt;=50000,"High","Low")</f>
        <v>High</v>
      </c>
      <c r="S93" t="str">
        <f>IF(M93&gt;=50000,"High",IF(M93&gt;=25000,"Medium","Low"))</f>
        <v>High</v>
      </c>
    </row>
    <row r="94" spans="1:19" x14ac:dyDescent="0.25">
      <c r="A94" t="s">
        <v>185</v>
      </c>
      <c r="B94" s="2">
        <v>46200</v>
      </c>
      <c r="C94" t="s">
        <v>186</v>
      </c>
      <c r="D94" t="s">
        <v>106</v>
      </c>
      <c r="E94" t="s">
        <v>107</v>
      </c>
      <c r="F94" t="s">
        <v>21</v>
      </c>
      <c r="G94" t="s">
        <v>22</v>
      </c>
      <c r="H94" s="6">
        <v>1</v>
      </c>
      <c r="I94" s="6">
        <v>52740</v>
      </c>
      <c r="J94" s="6">
        <v>0.15</v>
      </c>
      <c r="K94" s="6">
        <v>52740</v>
      </c>
      <c r="L94" s="6">
        <v>7911</v>
      </c>
      <c r="M94" s="6">
        <v>44829</v>
      </c>
      <c r="N94" t="s">
        <v>62</v>
      </c>
      <c r="O94" t="s">
        <v>41</v>
      </c>
      <c r="P94" t="s">
        <v>25</v>
      </c>
      <c r="Q94" t="s">
        <v>32</v>
      </c>
      <c r="R94" t="str">
        <f>IF(M94&gt;=50000,"High","Low")</f>
        <v>Low</v>
      </c>
      <c r="S94" t="str">
        <f>IF(M94&gt;=50000,"High",IF(M94&gt;=25000,"Medium","Low"))</f>
        <v>Medium</v>
      </c>
    </row>
    <row r="95" spans="1:19" x14ac:dyDescent="0.25">
      <c r="A95" t="s">
        <v>212</v>
      </c>
      <c r="B95" s="2">
        <v>46238</v>
      </c>
      <c r="C95" t="s">
        <v>213</v>
      </c>
      <c r="D95" t="s">
        <v>88</v>
      </c>
      <c r="E95" t="s">
        <v>89</v>
      </c>
      <c r="F95" t="s">
        <v>21</v>
      </c>
      <c r="G95" t="s">
        <v>22</v>
      </c>
      <c r="H95" s="6">
        <v>5</v>
      </c>
      <c r="I95" s="6">
        <v>53990</v>
      </c>
      <c r="J95" s="6">
        <v>0.05</v>
      </c>
      <c r="K95" s="6">
        <v>269950</v>
      </c>
      <c r="L95" s="6">
        <v>13497.5</v>
      </c>
      <c r="M95" s="6">
        <v>256452.5</v>
      </c>
      <c r="N95" t="s">
        <v>23</v>
      </c>
      <c r="O95" t="s">
        <v>53</v>
      </c>
      <c r="P95" t="s">
        <v>75</v>
      </c>
      <c r="Q95" t="s">
        <v>48</v>
      </c>
      <c r="R95" t="str">
        <f>IF(M95&gt;=50000,"High","Low")</f>
        <v>High</v>
      </c>
      <c r="S95" t="str">
        <f>IF(M95&gt;=50000,"High",IF(M95&gt;=25000,"Medium","Low"))</f>
        <v>High</v>
      </c>
    </row>
    <row r="96" spans="1:19" x14ac:dyDescent="0.25">
      <c r="A96" t="s">
        <v>223</v>
      </c>
      <c r="B96" s="2">
        <v>46042</v>
      </c>
      <c r="C96" t="s">
        <v>157</v>
      </c>
      <c r="D96" t="s">
        <v>106</v>
      </c>
      <c r="E96" t="s">
        <v>107</v>
      </c>
      <c r="F96" t="s">
        <v>21</v>
      </c>
      <c r="G96" t="s">
        <v>22</v>
      </c>
      <c r="H96" s="6">
        <v>2</v>
      </c>
      <c r="I96" s="6">
        <v>54010</v>
      </c>
      <c r="J96" s="6">
        <v>0.05</v>
      </c>
      <c r="K96" s="6">
        <v>108020</v>
      </c>
      <c r="L96" s="6">
        <v>5401</v>
      </c>
      <c r="M96" s="6">
        <v>102619</v>
      </c>
      <c r="N96" t="s">
        <v>23</v>
      </c>
      <c r="O96" t="s">
        <v>24</v>
      </c>
      <c r="P96" t="s">
        <v>25</v>
      </c>
      <c r="Q96" t="s">
        <v>26</v>
      </c>
      <c r="R96" t="str">
        <f>IF(M96&gt;=50000,"High","Low")</f>
        <v>High</v>
      </c>
      <c r="S96" t="str">
        <f>IF(M96&gt;=50000,"High",IF(M96&gt;=25000,"Medium","Low"))</f>
        <v>High</v>
      </c>
    </row>
    <row r="97" spans="1:19" x14ac:dyDescent="0.25">
      <c r="A97" t="s">
        <v>165</v>
      </c>
      <c r="B97" s="2">
        <v>46044</v>
      </c>
      <c r="C97" t="s">
        <v>166</v>
      </c>
      <c r="D97" t="s">
        <v>88</v>
      </c>
      <c r="E97" t="s">
        <v>89</v>
      </c>
      <c r="F97" t="s">
        <v>21</v>
      </c>
      <c r="G97" t="s">
        <v>22</v>
      </c>
      <c r="H97" s="6">
        <v>4</v>
      </c>
      <c r="I97" s="6">
        <v>56010</v>
      </c>
      <c r="J97" s="6">
        <v>0</v>
      </c>
      <c r="K97" s="6">
        <v>224040</v>
      </c>
      <c r="L97" s="6">
        <v>0</v>
      </c>
      <c r="M97" s="6">
        <v>224040</v>
      </c>
      <c r="N97" t="s">
        <v>31</v>
      </c>
      <c r="O97" t="s">
        <v>47</v>
      </c>
      <c r="P97" t="s">
        <v>25</v>
      </c>
      <c r="Q97" t="s">
        <v>42</v>
      </c>
      <c r="R97" t="str">
        <f>IF(M97&gt;=50000,"High","Low")</f>
        <v>High</v>
      </c>
      <c r="S97" t="str">
        <f>IF(M97&gt;=50000,"High",IF(M97&gt;=25000,"Medium","Low"))</f>
        <v>High</v>
      </c>
    </row>
    <row r="98" spans="1:19" x14ac:dyDescent="0.25">
      <c r="A98" t="s">
        <v>33</v>
      </c>
      <c r="B98" s="2">
        <v>46094</v>
      </c>
      <c r="C98" t="s">
        <v>34</v>
      </c>
      <c r="D98" t="s">
        <v>35</v>
      </c>
      <c r="E98" t="s">
        <v>20</v>
      </c>
      <c r="F98" t="s">
        <v>21</v>
      </c>
      <c r="G98" t="s">
        <v>22</v>
      </c>
      <c r="H98" s="6">
        <v>2</v>
      </c>
      <c r="I98" s="6">
        <v>57180</v>
      </c>
      <c r="J98" s="6">
        <v>0.1</v>
      </c>
      <c r="K98" s="6">
        <v>114360</v>
      </c>
      <c r="L98" s="6">
        <v>11436</v>
      </c>
      <c r="M98" s="6">
        <v>102924</v>
      </c>
      <c r="N98" t="s">
        <v>31</v>
      </c>
      <c r="O98" t="s">
        <v>24</v>
      </c>
      <c r="P98" t="s">
        <v>25</v>
      </c>
      <c r="Q98" t="s">
        <v>26</v>
      </c>
      <c r="R98" t="str">
        <f>IF(M98&gt;=50000,"High","Low")</f>
        <v>High</v>
      </c>
      <c r="S98" t="str">
        <f>IF(M98&gt;=50000,"High",IF(M98&gt;=25000,"Medium","Low"))</f>
        <v>High</v>
      </c>
    </row>
    <row r="99" spans="1:19" x14ac:dyDescent="0.25">
      <c r="A99" t="s">
        <v>125</v>
      </c>
      <c r="B99" s="2">
        <v>46064</v>
      </c>
      <c r="C99" t="s">
        <v>28</v>
      </c>
      <c r="D99" t="s">
        <v>29</v>
      </c>
      <c r="E99" t="s">
        <v>20</v>
      </c>
      <c r="F99" t="s">
        <v>21</v>
      </c>
      <c r="G99" t="s">
        <v>22</v>
      </c>
      <c r="H99" s="6">
        <v>3</v>
      </c>
      <c r="I99" s="6">
        <v>57980</v>
      </c>
      <c r="J99" s="6">
        <v>0.1</v>
      </c>
      <c r="K99" s="6">
        <v>173940</v>
      </c>
      <c r="L99" s="6">
        <v>17394</v>
      </c>
      <c r="M99" s="6">
        <v>156546</v>
      </c>
      <c r="N99" t="s">
        <v>23</v>
      </c>
      <c r="O99" t="s">
        <v>47</v>
      </c>
      <c r="P99" t="s">
        <v>25</v>
      </c>
      <c r="Q99" t="s">
        <v>26</v>
      </c>
      <c r="R99" t="str">
        <f>IF(M99&gt;=50000,"High","Low")</f>
        <v>High</v>
      </c>
      <c r="S99" t="str">
        <f>IF(M99&gt;=50000,"High",IF(M99&gt;=25000,"Medium","Low"))</f>
        <v>High</v>
      </c>
    </row>
    <row r="100" spans="1:19" x14ac:dyDescent="0.25">
      <c r="A100" t="s">
        <v>182</v>
      </c>
      <c r="B100" s="2">
        <v>46147</v>
      </c>
      <c r="C100" t="s">
        <v>157</v>
      </c>
      <c r="D100" t="s">
        <v>38</v>
      </c>
      <c r="E100" t="s">
        <v>20</v>
      </c>
      <c r="F100" t="s">
        <v>21</v>
      </c>
      <c r="G100" t="s">
        <v>22</v>
      </c>
      <c r="H100" s="6">
        <v>4</v>
      </c>
      <c r="I100" s="6">
        <v>58860</v>
      </c>
      <c r="J100" s="6">
        <v>0.05</v>
      </c>
      <c r="K100" s="6">
        <v>235440</v>
      </c>
      <c r="L100" s="6">
        <v>11772</v>
      </c>
      <c r="M100" s="6">
        <v>223668</v>
      </c>
      <c r="N100" t="s">
        <v>62</v>
      </c>
      <c r="O100" t="s">
        <v>41</v>
      </c>
      <c r="P100" t="s">
        <v>25</v>
      </c>
      <c r="Q100" t="s">
        <v>42</v>
      </c>
      <c r="R100" t="str">
        <f>IF(M100&gt;=50000,"High","Low")</f>
        <v>High</v>
      </c>
      <c r="S100" t="str">
        <f>IF(M100&gt;=50000,"High",IF(M100&gt;=25000,"Medium","Low"))</f>
        <v>High</v>
      </c>
    </row>
    <row r="101" spans="1:19" x14ac:dyDescent="0.25">
      <c r="A101" t="s">
        <v>183</v>
      </c>
      <c r="B101" s="2">
        <v>46084</v>
      </c>
      <c r="C101" t="s">
        <v>184</v>
      </c>
      <c r="D101" t="s">
        <v>88</v>
      </c>
      <c r="E101" t="s">
        <v>89</v>
      </c>
      <c r="F101" t="s">
        <v>21</v>
      </c>
      <c r="G101" t="s">
        <v>22</v>
      </c>
      <c r="H101" s="6">
        <v>5</v>
      </c>
      <c r="I101" s="6">
        <v>59930</v>
      </c>
      <c r="J101" s="6">
        <v>0</v>
      </c>
      <c r="K101" s="6">
        <v>299650</v>
      </c>
      <c r="L101" s="6">
        <v>0</v>
      </c>
      <c r="M101" s="6">
        <v>299650</v>
      </c>
      <c r="N101" t="s">
        <v>31</v>
      </c>
      <c r="O101" t="s">
        <v>24</v>
      </c>
      <c r="P101" t="s">
        <v>25</v>
      </c>
      <c r="Q101" t="s">
        <v>48</v>
      </c>
      <c r="R101" t="str">
        <f>IF(M101&gt;=50000,"High","Low")</f>
        <v>High</v>
      </c>
      <c r="S101" t="str">
        <f>IF(M101&gt;=50000,"High",IF(M101&gt;=25000,"Medium","Low"))</f>
        <v>High</v>
      </c>
    </row>
    <row r="102" spans="1:19" x14ac:dyDescent="0.25">
      <c r="B102" s="2"/>
      <c r="H102">
        <f>SUM(Sales_Data!H2:H101)</f>
        <v>276</v>
      </c>
    </row>
    <row r="103" spans="1:19" x14ac:dyDescent="0.25">
      <c r="A103" t="s">
        <v>265</v>
      </c>
      <c r="H103">
        <f>SUM(Sales_Data!H2:H101)</f>
        <v>276</v>
      </c>
      <c r="K103">
        <f>SUM(Sales_Data!K2:K101)</f>
        <v>2955590</v>
      </c>
      <c r="M103">
        <f>SUM(Sales_Data!M2:M101)</f>
        <v>2764145</v>
      </c>
      <c r="P103">
        <f>COUNTIF(P2:P101,"Delivered")</f>
        <v>87</v>
      </c>
    </row>
    <row r="104" spans="1:19" x14ac:dyDescent="0.25">
      <c r="A104">
        <f>COUNT(A2:A101)</f>
        <v>0</v>
      </c>
      <c r="C104" t="s">
        <v>269</v>
      </c>
      <c r="D104">
        <f>COUNTIFS(Sales_Data!E2:E101,"Delhi",Sales_Data!G2:G101,"Ekectronics")</f>
        <v>0</v>
      </c>
      <c r="L104" s="4" t="s">
        <v>262</v>
      </c>
      <c r="M104">
        <f>AVERAGE(Sales_Data!M2:M101)</f>
        <v>27641.45</v>
      </c>
    </row>
    <row r="105" spans="1:19" x14ac:dyDescent="0.25">
      <c r="C105" t="s">
        <v>268</v>
      </c>
      <c r="D105">
        <f>COUNTIFS(Sales_Data!E2:E101,"Delhi",Sales_Data!G2:G101,"Furniture")</f>
        <v>1</v>
      </c>
      <c r="L105" s="4" t="s">
        <v>263</v>
      </c>
      <c r="M105">
        <f>MAX(Sales_Data!M2:M101)</f>
        <v>299650</v>
      </c>
    </row>
    <row r="106" spans="1:19" x14ac:dyDescent="0.25">
      <c r="C106" t="s">
        <v>270</v>
      </c>
      <c r="D106">
        <f>COUNTIFS(Sales_Data!E2:E101,"Delhi",Sales_Data!G2:G101,"Accessories")</f>
        <v>5</v>
      </c>
      <c r="F106" t="s">
        <v>23</v>
      </c>
      <c r="G106">
        <f>COUNTIF(N2:N101,"Marketplace")</f>
        <v>32</v>
      </c>
      <c r="L106" s="4" t="s">
        <v>264</v>
      </c>
      <c r="M106">
        <f>MIN(Sales_Data!M2:M101)</f>
        <v>180</v>
      </c>
    </row>
    <row r="107" spans="1:19" x14ac:dyDescent="0.25">
      <c r="B107" t="s">
        <v>271</v>
      </c>
      <c r="D107">
        <f>COUNTIFS(Sales_Data!E2:E101,"Utter Pradesh",Sales_Data!G2:G101,"Electronics")</f>
        <v>0</v>
      </c>
      <c r="F107" t="s">
        <v>31</v>
      </c>
      <c r="G107">
        <f>COUNTIF(N2:N101,"Website")</f>
        <v>34</v>
      </c>
      <c r="L107" s="4"/>
    </row>
    <row r="108" spans="1:19" x14ac:dyDescent="0.25">
      <c r="B108" t="s">
        <v>272</v>
      </c>
      <c r="D108">
        <f>COUNTIFS(Sales_Data!E2:E101,"Utter Pradesh",Sales_Data!G2:G101,"Furniture")</f>
        <v>0</v>
      </c>
      <c r="F108" t="s">
        <v>62</v>
      </c>
      <c r="G108">
        <f>COUNTIF(N2:N101,"Mobile App")</f>
        <v>34</v>
      </c>
    </row>
    <row r="109" spans="1:19" x14ac:dyDescent="0.25">
      <c r="B109" t="s">
        <v>273</v>
      </c>
      <c r="D109">
        <f>COUNTIFS(Sales_Data!E2:E101,"Utter Pradesh",Sales_Data!G2:G101,"Accessories")</f>
        <v>0</v>
      </c>
      <c r="F109" t="s">
        <v>266</v>
      </c>
      <c r="H109">
        <f>COUNTIFS(Sales_Data!P2:P101,"Delivered",Sales_Data!N2:N101,"Website")</f>
        <v>31</v>
      </c>
      <c r="K109" t="str">
        <f>C2&amp; " - "&amp;D2</f>
        <v>Karan Singh - Agra</v>
      </c>
    </row>
    <row r="110" spans="1:19" x14ac:dyDescent="0.25">
      <c r="F110" t="s">
        <v>267</v>
      </c>
      <c r="H110">
        <f>COUNTIFS(Sales_Data!P2:P101,"Shipped",Sales_Data!N2:N101,"Mobile App")</f>
        <v>2</v>
      </c>
      <c r="K110" t="str">
        <f>C4&amp; "  " &amp;D3</f>
        <v>Mohit Yadav  Noida</v>
      </c>
    </row>
    <row r="113" spans="5:6" x14ac:dyDescent="0.25">
      <c r="E113" t="s">
        <v>274</v>
      </c>
      <c r="F113">
        <f>COUNTIF(Sales_Data!M2:M101,"&gt;=50000")</f>
        <v>12</v>
      </c>
    </row>
    <row r="114" spans="5:6" x14ac:dyDescent="0.25">
      <c r="E114" t="s">
        <v>275</v>
      </c>
      <c r="F114">
        <f>COUNTIFS(Sales_Data!M2:M101,"&gt;=10000",Sales_Data!M2:M101,"&lt;=40000")</f>
        <v>22</v>
      </c>
    </row>
    <row r="115" spans="5:6" x14ac:dyDescent="0.25">
      <c r="E115" t="s">
        <v>276</v>
      </c>
      <c r="F115">
        <f>COUNTIFS(Sales_Data!M2:M101,"&gt;=10000",Sales_Data!M2:M101,"&lt;=20000")</f>
        <v>10</v>
      </c>
    </row>
    <row r="116" spans="5:6" x14ac:dyDescent="0.25">
      <c r="E116" t="s">
        <v>277</v>
      </c>
      <c r="F116">
        <f>COUNTIFS(Sales_Data!M2:M101,"&gt;=10000",Sales_Data!M2:M101,"&lt;=50000")</f>
        <v>27</v>
      </c>
    </row>
    <row r="118" spans="5:6" x14ac:dyDescent="0.25">
      <c r="E118" t="s">
        <v>278</v>
      </c>
      <c r="F118">
        <f>SUMIF(Sales_Data!G2:G101,"Electronics",Sales_Data!M2:M101)</f>
        <v>2458807</v>
      </c>
    </row>
    <row r="119" spans="5:6" x14ac:dyDescent="0.25">
      <c r="E119" t="s">
        <v>40</v>
      </c>
      <c r="F119">
        <f>SUMIF(Sales_Data!G2:G101,"Furniture",Sales_Data!M2:M101)</f>
        <v>222850</v>
      </c>
    </row>
    <row r="120" spans="5:6" x14ac:dyDescent="0.25">
      <c r="E120" t="s">
        <v>279</v>
      </c>
      <c r="F120">
        <f>SUMIF(Sales_Data!G2:G101,"Accessories",Sales_Data!M2:M101)</f>
        <v>74509.5</v>
      </c>
    </row>
    <row r="121" spans="5:6" x14ac:dyDescent="0.25">
      <c r="E121" t="s">
        <v>52</v>
      </c>
      <c r="F121">
        <f>SUMIF(Sales_Data!G2:G101,"Stationery",Sales_Data!M2:M101)</f>
        <v>7978.5</v>
      </c>
    </row>
  </sheetData>
  <conditionalFormatting sqref="M1:M102 M107:M1048576">
    <cfRule type="colorScale" priority="5">
      <colorScale>
        <cfvo type="min"/>
        <cfvo type="percentile" val="50"/>
        <cfvo type="max"/>
        <color theme="6" tint="0.59999389629810485"/>
        <color theme="5" tint="0.79998168889431442"/>
        <color theme="7" tint="0.59999389629810485"/>
      </colorScale>
    </cfRule>
  </conditionalFormatting>
  <conditionalFormatting sqref="M1:M102 M107:M1048576">
    <cfRule type="iconSet" priority="3">
      <iconSet iconSet="3TrafficLights2">
        <cfvo type="percent" val="0"/>
        <cfvo type="percent" val="33"/>
        <cfvo type="percent" val="67"/>
      </iconSet>
    </cfRule>
  </conditionalFormatting>
  <conditionalFormatting sqref="M2:M101">
    <cfRule type="iconSet" priority="1">
      <iconSet iconSet="3Symbols2">
        <cfvo type="percent" val="0"/>
        <cfvo type="percent" val="33"/>
        <cfvo type="percent" val="67"/>
      </iconSet>
    </cfRule>
    <cfRule type="colorScale" priority="2">
      <colorScale>
        <cfvo type="min"/>
        <cfvo type="percentile" val="50"/>
        <cfvo type="max"/>
        <color theme="3" tint="0.79998168889431442"/>
        <color theme="5" tint="0.79998168889431442"/>
        <color theme="6" tint="0.79998168889431442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H15"/>
    </sheetView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C21"/>
    </sheetView>
  </sheetViews>
  <sheetFormatPr defaultRowHeight="15" x14ac:dyDescent="0.2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F8FE-F206-4E30-877F-734CDF939C1F}">
  <dimension ref="B2:S62"/>
  <sheetViews>
    <sheetView topLeftCell="A34" workbookViewId="0">
      <selection activeCell="G60" sqref="G60"/>
    </sheetView>
  </sheetViews>
  <sheetFormatPr defaultRowHeight="15" x14ac:dyDescent="0.25"/>
  <cols>
    <col min="1" max="1" width="15.7109375" bestFit="1" customWidth="1"/>
    <col min="2" max="2" width="14.42578125" bestFit="1" customWidth="1"/>
    <col min="3" max="3" width="18.42578125" bestFit="1" customWidth="1"/>
    <col min="7" max="7" width="13.85546875" bestFit="1" customWidth="1"/>
    <col min="8" max="8" width="30.28515625" bestFit="1" customWidth="1"/>
    <col min="9" max="9" width="15.42578125" bestFit="1" customWidth="1"/>
    <col min="10" max="10" width="17" bestFit="1" customWidth="1"/>
    <col min="11" max="11" width="18.140625" bestFit="1" customWidth="1"/>
    <col min="12" max="12" width="18.42578125" bestFit="1" customWidth="1"/>
    <col min="13" max="13" width="23.85546875" bestFit="1" customWidth="1"/>
    <col min="14" max="14" width="16.5703125" bestFit="1" customWidth="1"/>
    <col min="16" max="16" width="13.140625" bestFit="1" customWidth="1"/>
    <col min="17" max="17" width="16.5703125" bestFit="1" customWidth="1"/>
    <col min="18" max="19" width="18.42578125" bestFit="1" customWidth="1"/>
  </cols>
  <sheetData>
    <row r="2" spans="2:19" x14ac:dyDescent="0.25">
      <c r="B2" s="7" t="s">
        <v>282</v>
      </c>
      <c r="C2" t="s">
        <v>292</v>
      </c>
      <c r="G2" s="7" t="s">
        <v>282</v>
      </c>
      <c r="H2" t="s">
        <v>293</v>
      </c>
      <c r="K2" s="7" t="s">
        <v>282</v>
      </c>
      <c r="L2" t="s">
        <v>295</v>
      </c>
      <c r="M2" t="s">
        <v>292</v>
      </c>
      <c r="Q2" s="7" t="s">
        <v>282</v>
      </c>
      <c r="R2" t="s">
        <v>293</v>
      </c>
      <c r="S2" t="s">
        <v>292</v>
      </c>
    </row>
    <row r="3" spans="2:19" x14ac:dyDescent="0.25">
      <c r="B3" s="8" t="s">
        <v>161</v>
      </c>
      <c r="C3" s="5">
        <v>53320</v>
      </c>
      <c r="G3" s="8" t="s">
        <v>170</v>
      </c>
      <c r="H3" s="5">
        <v>1584</v>
      </c>
      <c r="K3" s="8" t="s">
        <v>73</v>
      </c>
      <c r="L3" s="5">
        <v>1.6000000000000003</v>
      </c>
      <c r="M3" s="5">
        <v>159620</v>
      </c>
      <c r="Q3" s="8" t="s">
        <v>101</v>
      </c>
      <c r="R3" s="5">
        <v>9964.5</v>
      </c>
      <c r="S3" s="5">
        <v>10730</v>
      </c>
    </row>
    <row r="4" spans="2:19" x14ac:dyDescent="0.25">
      <c r="B4" s="8" t="s">
        <v>177</v>
      </c>
      <c r="C4" s="5">
        <v>6600</v>
      </c>
      <c r="G4" s="8" t="s">
        <v>194</v>
      </c>
      <c r="H4" s="5">
        <v>5420</v>
      </c>
      <c r="K4" s="8" t="s">
        <v>56</v>
      </c>
      <c r="L4" s="5">
        <v>0.70000000000000007</v>
      </c>
      <c r="M4" s="5">
        <v>180640</v>
      </c>
      <c r="Q4" s="8" t="s">
        <v>110</v>
      </c>
      <c r="R4" s="5">
        <v>3820</v>
      </c>
      <c r="S4" s="5">
        <v>4250</v>
      </c>
    </row>
    <row r="5" spans="2:19" x14ac:dyDescent="0.25">
      <c r="B5" s="8" t="s">
        <v>114</v>
      </c>
      <c r="C5" s="5">
        <v>44360</v>
      </c>
      <c r="G5" s="8" t="s">
        <v>55</v>
      </c>
      <c r="H5" s="5">
        <v>3744</v>
      </c>
      <c r="K5" s="8" t="s">
        <v>19</v>
      </c>
      <c r="L5" s="5">
        <v>1.05</v>
      </c>
      <c r="M5" s="5">
        <v>246580</v>
      </c>
      <c r="Q5" s="8" t="s">
        <v>92</v>
      </c>
      <c r="R5" s="5">
        <v>85241</v>
      </c>
      <c r="S5" s="5">
        <v>96100</v>
      </c>
    </row>
    <row r="6" spans="2:19" x14ac:dyDescent="0.25">
      <c r="B6" s="8" t="s">
        <v>237</v>
      </c>
      <c r="C6" s="5">
        <v>9330</v>
      </c>
      <c r="G6" s="8" t="s">
        <v>124</v>
      </c>
      <c r="H6" s="5">
        <v>1782</v>
      </c>
      <c r="K6" s="8" t="s">
        <v>38</v>
      </c>
      <c r="L6" s="5">
        <v>1.1000000000000001</v>
      </c>
      <c r="M6" s="5">
        <v>330920</v>
      </c>
      <c r="Q6" s="8" t="s">
        <v>112</v>
      </c>
      <c r="R6" s="5">
        <v>50473.5</v>
      </c>
      <c r="S6" s="5">
        <v>60910</v>
      </c>
    </row>
    <row r="7" spans="2:19" x14ac:dyDescent="0.25">
      <c r="B7" s="8" t="s">
        <v>221</v>
      </c>
      <c r="C7" s="5">
        <v>1420</v>
      </c>
      <c r="G7" s="8" t="s">
        <v>219</v>
      </c>
      <c r="H7" s="5">
        <v>23698</v>
      </c>
      <c r="K7" s="8" t="s">
        <v>29</v>
      </c>
      <c r="L7" s="5">
        <v>1.05</v>
      </c>
      <c r="M7" s="5">
        <v>312690</v>
      </c>
      <c r="Q7" s="8" t="s">
        <v>85</v>
      </c>
      <c r="R7" s="5">
        <v>15173</v>
      </c>
      <c r="S7" s="5">
        <v>15980</v>
      </c>
    </row>
    <row r="8" spans="2:19" x14ac:dyDescent="0.25">
      <c r="B8" s="8" t="s">
        <v>170</v>
      </c>
      <c r="C8" s="5">
        <v>1760</v>
      </c>
      <c r="G8" s="8" t="s">
        <v>34</v>
      </c>
      <c r="H8" s="5">
        <v>136988</v>
      </c>
      <c r="K8" s="8" t="s">
        <v>69</v>
      </c>
      <c r="L8" s="5">
        <v>0.6</v>
      </c>
      <c r="M8" s="5">
        <v>38070</v>
      </c>
      <c r="Q8" s="8" t="s">
        <v>57</v>
      </c>
      <c r="R8" s="5">
        <v>15803</v>
      </c>
      <c r="S8" s="5">
        <v>17830</v>
      </c>
    </row>
    <row r="9" spans="2:19" x14ac:dyDescent="0.25">
      <c r="B9" s="8" t="s">
        <v>194</v>
      </c>
      <c r="C9" s="5">
        <v>5750</v>
      </c>
      <c r="G9" s="8" t="s">
        <v>283</v>
      </c>
      <c r="H9" s="5">
        <v>173216</v>
      </c>
      <c r="K9" s="8" t="s">
        <v>283</v>
      </c>
      <c r="L9" s="5">
        <v>6.1000000000000005</v>
      </c>
      <c r="M9" s="5">
        <v>1268520</v>
      </c>
      <c r="Q9" s="8" t="s">
        <v>21</v>
      </c>
      <c r="R9" s="5">
        <v>1559470</v>
      </c>
      <c r="S9" s="5">
        <v>1634710</v>
      </c>
    </row>
    <row r="10" spans="2:19" x14ac:dyDescent="0.25">
      <c r="B10" s="8" t="s">
        <v>283</v>
      </c>
      <c r="C10" s="5">
        <v>122540</v>
      </c>
      <c r="Q10" s="8" t="s">
        <v>94</v>
      </c>
      <c r="R10" s="5">
        <v>193815.5</v>
      </c>
      <c r="S10" s="5">
        <v>206370</v>
      </c>
    </row>
    <row r="11" spans="2:19" x14ac:dyDescent="0.25">
      <c r="Q11" s="8" t="s">
        <v>81</v>
      </c>
      <c r="R11" s="5">
        <v>7855</v>
      </c>
      <c r="S11" s="5">
        <v>8440</v>
      </c>
    </row>
    <row r="12" spans="2:19" x14ac:dyDescent="0.25">
      <c r="Q12" s="8" t="s">
        <v>78</v>
      </c>
      <c r="R12" s="5">
        <v>1992.5</v>
      </c>
      <c r="S12" s="5">
        <v>2240</v>
      </c>
    </row>
    <row r="13" spans="2:19" x14ac:dyDescent="0.25">
      <c r="Q13" s="8" t="s">
        <v>39</v>
      </c>
      <c r="R13" s="5">
        <v>137609</v>
      </c>
      <c r="S13" s="5">
        <v>141100</v>
      </c>
    </row>
    <row r="14" spans="2:19" x14ac:dyDescent="0.25">
      <c r="Q14" s="8" t="s">
        <v>51</v>
      </c>
      <c r="R14" s="5">
        <v>2166</v>
      </c>
      <c r="S14" s="5">
        <v>2590</v>
      </c>
    </row>
    <row r="15" spans="2:19" x14ac:dyDescent="0.25">
      <c r="Q15" s="8" t="s">
        <v>144</v>
      </c>
      <c r="R15" s="5">
        <v>25176</v>
      </c>
      <c r="S15" s="5">
        <v>27710</v>
      </c>
    </row>
    <row r="16" spans="2:19" x14ac:dyDescent="0.25">
      <c r="Q16" s="8" t="s">
        <v>133</v>
      </c>
      <c r="R16" s="5">
        <v>65711.5</v>
      </c>
      <c r="S16" s="5">
        <v>71620</v>
      </c>
    </row>
    <row r="17" spans="2:19" x14ac:dyDescent="0.25">
      <c r="Q17" s="8" t="s">
        <v>152</v>
      </c>
      <c r="R17" s="5">
        <v>204216</v>
      </c>
      <c r="S17" s="5">
        <v>222250</v>
      </c>
    </row>
    <row r="18" spans="2:19" x14ac:dyDescent="0.25">
      <c r="Q18" s="8" t="s">
        <v>66</v>
      </c>
      <c r="R18" s="5">
        <v>76731</v>
      </c>
      <c r="S18" s="5">
        <v>85070</v>
      </c>
    </row>
    <row r="19" spans="2:19" x14ac:dyDescent="0.25">
      <c r="Q19" s="8" t="s">
        <v>74</v>
      </c>
      <c r="R19" s="5">
        <v>38074.5</v>
      </c>
      <c r="S19" s="5">
        <v>45440</v>
      </c>
    </row>
    <row r="20" spans="2:19" x14ac:dyDescent="0.25">
      <c r="Q20" s="8" t="s">
        <v>30</v>
      </c>
      <c r="R20" s="5">
        <v>210045.5</v>
      </c>
      <c r="S20" s="5">
        <v>236310</v>
      </c>
    </row>
    <row r="21" spans="2:19" x14ac:dyDescent="0.25">
      <c r="Q21" s="8" t="s">
        <v>122</v>
      </c>
      <c r="R21" s="5">
        <v>15711</v>
      </c>
      <c r="S21" s="5">
        <v>17600</v>
      </c>
    </row>
    <row r="22" spans="2:19" x14ac:dyDescent="0.25">
      <c r="Q22" s="8" t="s">
        <v>70</v>
      </c>
      <c r="R22" s="5">
        <v>45096.5</v>
      </c>
      <c r="S22" s="5">
        <v>48340</v>
      </c>
    </row>
    <row r="23" spans="2:19" x14ac:dyDescent="0.25">
      <c r="Q23" s="8" t="s">
        <v>283</v>
      </c>
      <c r="R23" s="5">
        <v>2764145</v>
      </c>
      <c r="S23" s="5">
        <v>2955590</v>
      </c>
    </row>
    <row r="26" spans="2:19" x14ac:dyDescent="0.25">
      <c r="H26" s="7" t="s">
        <v>282</v>
      </c>
      <c r="I26" t="s">
        <v>297</v>
      </c>
      <c r="J26" t="s">
        <v>298</v>
      </c>
      <c r="K26" t="s">
        <v>295</v>
      </c>
      <c r="L26" t="s">
        <v>292</v>
      </c>
      <c r="M26" t="s">
        <v>294</v>
      </c>
      <c r="N26" t="s">
        <v>293</v>
      </c>
    </row>
    <row r="27" spans="2:19" x14ac:dyDescent="0.25">
      <c r="H27" s="8" t="s">
        <v>34</v>
      </c>
      <c r="I27" s="5">
        <v>4</v>
      </c>
      <c r="J27" s="5">
        <v>4920</v>
      </c>
      <c r="K27" s="5">
        <v>0.05</v>
      </c>
      <c r="L27" s="5">
        <v>19680</v>
      </c>
      <c r="M27" s="5">
        <v>984</v>
      </c>
      <c r="N27" s="5">
        <v>18696</v>
      </c>
    </row>
    <row r="28" spans="2:19" x14ac:dyDescent="0.25">
      <c r="B28" s="7" t="s">
        <v>282</v>
      </c>
      <c r="C28" t="s">
        <v>293</v>
      </c>
      <c r="H28" s="9" t="s">
        <v>73</v>
      </c>
      <c r="I28" s="5">
        <v>4</v>
      </c>
      <c r="J28" s="5">
        <v>4920</v>
      </c>
      <c r="K28" s="5">
        <v>0.05</v>
      </c>
      <c r="L28" s="5">
        <v>19680</v>
      </c>
      <c r="M28" s="5">
        <v>984</v>
      </c>
      <c r="N28" s="5">
        <v>18696</v>
      </c>
    </row>
    <row r="29" spans="2:19" x14ac:dyDescent="0.25">
      <c r="B29" s="8" t="s">
        <v>291</v>
      </c>
      <c r="C29" s="5">
        <v>525982.5</v>
      </c>
      <c r="H29" s="10" t="s">
        <v>73</v>
      </c>
      <c r="I29" s="5">
        <v>4</v>
      </c>
      <c r="J29" s="5">
        <v>4920</v>
      </c>
      <c r="K29" s="5">
        <v>0.05</v>
      </c>
      <c r="L29" s="5">
        <v>19680</v>
      </c>
      <c r="M29" s="5">
        <v>984</v>
      </c>
      <c r="N29" s="5">
        <v>18696</v>
      </c>
    </row>
    <row r="30" spans="2:19" x14ac:dyDescent="0.25">
      <c r="B30" s="8" t="s">
        <v>288</v>
      </c>
      <c r="C30" s="5">
        <v>203187</v>
      </c>
      <c r="H30" s="11" t="s">
        <v>66</v>
      </c>
      <c r="I30" s="5">
        <v>4</v>
      </c>
      <c r="J30" s="5">
        <v>4920</v>
      </c>
      <c r="K30" s="5">
        <v>0.05</v>
      </c>
      <c r="L30" s="5">
        <v>19680</v>
      </c>
      <c r="M30" s="5">
        <v>984</v>
      </c>
      <c r="N30" s="5">
        <v>18696</v>
      </c>
    </row>
    <row r="31" spans="2:19" x14ac:dyDescent="0.25">
      <c r="B31" s="8" t="s">
        <v>286</v>
      </c>
      <c r="C31" s="5">
        <v>569955</v>
      </c>
      <c r="H31" s="12" t="s">
        <v>22</v>
      </c>
      <c r="I31" s="5">
        <v>4</v>
      </c>
      <c r="J31" s="5">
        <v>4920</v>
      </c>
      <c r="K31" s="5">
        <v>0.05</v>
      </c>
      <c r="L31" s="5">
        <v>19680</v>
      </c>
      <c r="M31" s="5">
        <v>984</v>
      </c>
      <c r="N31" s="5">
        <v>18696</v>
      </c>
    </row>
    <row r="32" spans="2:19" x14ac:dyDescent="0.25">
      <c r="B32" s="8" t="s">
        <v>290</v>
      </c>
      <c r="C32" s="5">
        <v>187843.5</v>
      </c>
      <c r="H32" s="13" t="s">
        <v>62</v>
      </c>
      <c r="I32" s="5">
        <v>4</v>
      </c>
      <c r="J32" s="5">
        <v>4920</v>
      </c>
      <c r="K32" s="5">
        <v>0.05</v>
      </c>
      <c r="L32" s="5">
        <v>19680</v>
      </c>
      <c r="M32" s="5">
        <v>984</v>
      </c>
      <c r="N32" s="5">
        <v>18696</v>
      </c>
    </row>
    <row r="33" spans="2:14" x14ac:dyDescent="0.25">
      <c r="B33" s="8" t="s">
        <v>285</v>
      </c>
      <c r="C33" s="5">
        <v>431359</v>
      </c>
      <c r="H33" s="14" t="s">
        <v>47</v>
      </c>
      <c r="I33" s="5">
        <v>4</v>
      </c>
      <c r="J33" s="5">
        <v>4920</v>
      </c>
      <c r="K33" s="5">
        <v>0.05</v>
      </c>
      <c r="L33" s="5">
        <v>19680</v>
      </c>
      <c r="M33" s="5">
        <v>984</v>
      </c>
      <c r="N33" s="5">
        <v>18696</v>
      </c>
    </row>
    <row r="34" spans="2:14" x14ac:dyDescent="0.25">
      <c r="B34" s="8" t="s">
        <v>287</v>
      </c>
      <c r="C34" s="5">
        <v>123646.5</v>
      </c>
      <c r="H34" s="15" t="s">
        <v>82</v>
      </c>
      <c r="I34" s="5">
        <v>4</v>
      </c>
      <c r="J34" s="5">
        <v>4920</v>
      </c>
      <c r="K34" s="5">
        <v>0.05</v>
      </c>
      <c r="L34" s="5">
        <v>19680</v>
      </c>
      <c r="M34" s="5">
        <v>984</v>
      </c>
      <c r="N34" s="5">
        <v>18696</v>
      </c>
    </row>
    <row r="35" spans="2:14" x14ac:dyDescent="0.25">
      <c r="B35" s="8" t="s">
        <v>289</v>
      </c>
      <c r="C35" s="5">
        <v>350634.5</v>
      </c>
      <c r="H35" s="16" t="s">
        <v>32</v>
      </c>
      <c r="I35" s="5">
        <v>4</v>
      </c>
      <c r="J35" s="5">
        <v>4920</v>
      </c>
      <c r="K35" s="5">
        <v>0.05</v>
      </c>
      <c r="L35" s="5">
        <v>19680</v>
      </c>
      <c r="M35" s="5">
        <v>984</v>
      </c>
      <c r="N35" s="5">
        <v>18696</v>
      </c>
    </row>
    <row r="36" spans="2:14" x14ac:dyDescent="0.25">
      <c r="B36" s="8" t="s">
        <v>284</v>
      </c>
      <c r="C36" s="5">
        <v>371537</v>
      </c>
      <c r="H36" s="17" t="s">
        <v>296</v>
      </c>
      <c r="I36" s="5">
        <v>4</v>
      </c>
      <c r="J36" s="5">
        <v>4920</v>
      </c>
      <c r="K36" s="5">
        <v>0.05</v>
      </c>
      <c r="L36" s="5">
        <v>19680</v>
      </c>
      <c r="M36" s="5">
        <v>984</v>
      </c>
      <c r="N36" s="5">
        <v>18696</v>
      </c>
    </row>
    <row r="37" spans="2:14" x14ac:dyDescent="0.25">
      <c r="B37" s="8" t="s">
        <v>283</v>
      </c>
      <c r="C37" s="5">
        <v>2764145</v>
      </c>
      <c r="H37" s="18" t="s">
        <v>296</v>
      </c>
      <c r="I37" s="5">
        <v>4</v>
      </c>
      <c r="J37" s="5">
        <v>4920</v>
      </c>
      <c r="K37" s="5">
        <v>0.05</v>
      </c>
      <c r="L37" s="5">
        <v>19680</v>
      </c>
      <c r="M37" s="5">
        <v>984</v>
      </c>
      <c r="N37" s="5">
        <v>18696</v>
      </c>
    </row>
    <row r="38" spans="2:14" x14ac:dyDescent="0.25">
      <c r="H38" s="19" t="s">
        <v>299</v>
      </c>
      <c r="I38" s="5"/>
      <c r="J38" s="5"/>
      <c r="K38" s="5"/>
      <c r="L38" s="5"/>
      <c r="M38" s="5"/>
      <c r="N38" s="5"/>
    </row>
    <row r="39" spans="2:14" x14ac:dyDescent="0.25">
      <c r="H39" s="20" t="s">
        <v>285</v>
      </c>
      <c r="I39" s="5">
        <v>4</v>
      </c>
      <c r="J39" s="5">
        <v>4920</v>
      </c>
      <c r="K39" s="5">
        <v>0.05</v>
      </c>
      <c r="L39" s="5">
        <v>19680</v>
      </c>
      <c r="M39" s="5">
        <v>984</v>
      </c>
      <c r="N39" s="5">
        <v>18696</v>
      </c>
    </row>
    <row r="40" spans="2:14" x14ac:dyDescent="0.25">
      <c r="H40" s="8" t="s">
        <v>283</v>
      </c>
      <c r="I40" s="5">
        <v>4</v>
      </c>
      <c r="J40" s="5">
        <v>4920</v>
      </c>
      <c r="K40" s="5">
        <v>0.05</v>
      </c>
      <c r="L40" s="5">
        <v>19680</v>
      </c>
      <c r="M40" s="5">
        <v>984</v>
      </c>
      <c r="N40" s="5">
        <v>18696</v>
      </c>
    </row>
    <row r="57" spans="3:4" x14ac:dyDescent="0.25">
      <c r="C57" t="s">
        <v>300</v>
      </c>
      <c r="D57" s="6" t="s">
        <v>301</v>
      </c>
    </row>
    <row r="58" spans="3:4" x14ac:dyDescent="0.25">
      <c r="C58" t="s">
        <v>20</v>
      </c>
      <c r="D58" s="6">
        <f>SUMIF(Sales_Data!E:E,C58,Sales_Data!M:M)</f>
        <v>1280588</v>
      </c>
    </row>
    <row r="59" spans="3:4" x14ac:dyDescent="0.25">
      <c r="C59" t="s">
        <v>73</v>
      </c>
      <c r="D59" s="6">
        <f>SUMIF(Sales_Data!E:E,C59,Sales_Data!M:M)</f>
        <v>134788.5</v>
      </c>
    </row>
    <row r="60" spans="3:4" x14ac:dyDescent="0.25">
      <c r="C60" t="s">
        <v>107</v>
      </c>
      <c r="D60" s="6">
        <f>SUMIF(Sales_Data!E:E,C60,Sales_Data!M:M)</f>
        <v>354412</v>
      </c>
    </row>
    <row r="61" spans="3:4" x14ac:dyDescent="0.25">
      <c r="C61" t="s">
        <v>89</v>
      </c>
      <c r="D61" s="6">
        <f>SUMIF(Sales_Data!E:E,C61,Sales_Data!M:M)</f>
        <v>901482.5</v>
      </c>
    </row>
    <row r="62" spans="3:4" x14ac:dyDescent="0.25">
      <c r="C62" t="s">
        <v>46</v>
      </c>
      <c r="D62" s="6">
        <f>SUMIF(Sales_Data!E:E,C62,Sales_Data!M:M)</f>
        <v>92874</v>
      </c>
    </row>
  </sheetData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9085-EEF6-4560-A07C-5E67778D666E}">
  <dimension ref="A1:A15"/>
  <sheetViews>
    <sheetView tabSelected="1" workbookViewId="0">
      <selection activeCell="H24" sqref="H24"/>
    </sheetView>
  </sheetViews>
  <sheetFormatPr defaultRowHeight="15" x14ac:dyDescent="0.25"/>
  <sheetData>
    <row r="1" spans="1:1" x14ac:dyDescent="0.25">
      <c r="A1" s="1" t="s">
        <v>247</v>
      </c>
    </row>
    <row r="2" spans="1:1" x14ac:dyDescent="0.25">
      <c r="A2" t="s">
        <v>248</v>
      </c>
    </row>
    <row r="3" spans="1:1" x14ac:dyDescent="0.25">
      <c r="A3" t="s">
        <v>249</v>
      </c>
    </row>
    <row r="4" spans="1:1" x14ac:dyDescent="0.25">
      <c r="A4" t="s">
        <v>250</v>
      </c>
    </row>
    <row r="5" spans="1:1" x14ac:dyDescent="0.25">
      <c r="A5" t="s">
        <v>251</v>
      </c>
    </row>
    <row r="6" spans="1:1" x14ac:dyDescent="0.25">
      <c r="A6" t="s">
        <v>252</v>
      </c>
    </row>
    <row r="7" spans="1:1" x14ac:dyDescent="0.25">
      <c r="A7" t="s">
        <v>253</v>
      </c>
    </row>
    <row r="8" spans="1:1" x14ac:dyDescent="0.25">
      <c r="A8" t="s">
        <v>254</v>
      </c>
    </row>
    <row r="9" spans="1:1" x14ac:dyDescent="0.25">
      <c r="A9" t="s">
        <v>255</v>
      </c>
    </row>
    <row r="10" spans="1:1" x14ac:dyDescent="0.25">
      <c r="A10" t="s">
        <v>256</v>
      </c>
    </row>
    <row r="11" spans="1:1" x14ac:dyDescent="0.25">
      <c r="A11" t="s">
        <v>257</v>
      </c>
    </row>
    <row r="12" spans="1:1" x14ac:dyDescent="0.25">
      <c r="A12" t="s">
        <v>258</v>
      </c>
    </row>
    <row r="13" spans="1:1" x14ac:dyDescent="0.25">
      <c r="A13" t="s">
        <v>259</v>
      </c>
    </row>
    <row r="14" spans="1:1" x14ac:dyDescent="0.25">
      <c r="A14" t="s">
        <v>260</v>
      </c>
    </row>
    <row r="15" spans="1:1" x14ac:dyDescent="0.25">
      <c r="A15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FCF1-A82E-495E-9595-DF1C34F31A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Exercises</vt:lpstr>
      <vt:lpstr>Product_Lookup</vt:lpstr>
      <vt:lpstr>PivotChart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Supriya</cp:lastModifiedBy>
  <dcterms:created xsi:type="dcterms:W3CDTF">2026-09-15T04:09:08Z</dcterms:created>
  <dcterms:modified xsi:type="dcterms:W3CDTF">2026-09-15T10:58:23Z</dcterms:modified>
</cp:coreProperties>
</file>