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priya\Desktop\"/>
    </mc:Choice>
  </mc:AlternateContent>
  <xr:revisionPtr revIDLastSave="0" documentId="13_ncr:1_{A6961E85-683D-48B5-9172-65D3E17E3EBB}" xr6:coauthVersionLast="47" xr6:coauthVersionMax="47" xr10:uidLastSave="{00000000-0000-0000-0000-000000000000}"/>
  <bookViews>
    <workbookView xWindow="-120" yWindow="-120" windowWidth="24240" windowHeight="13020" activeTab="2" xr2:uid="{4D6EEC4C-41CF-4B0F-9AB9-D5C91E11E457}"/>
  </bookViews>
  <sheets>
    <sheet name="Sheet1" sheetId="1" r:id="rId1"/>
    <sheet name="Detail1" sheetId="3" r:id="rId2"/>
    <sheet name="Sheet2" sheetId="2" r:id="rId3"/>
  </sheets>
  <definedNames>
    <definedName name="_xlnm._FilterDatabase" localSheetId="0" hidden="1">Sheet1!$A$1:$L$31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I3" i="1"/>
  <c r="J3" i="1" s="1"/>
  <c r="K3" i="1" s="1"/>
  <c r="I4" i="1"/>
  <c r="J4" i="1" s="1"/>
  <c r="K4" i="1" s="1"/>
  <c r="I5" i="1"/>
  <c r="J5" i="1"/>
  <c r="K5" i="1" s="1"/>
  <c r="I6" i="1"/>
  <c r="J6" i="1" s="1"/>
  <c r="I7" i="1"/>
  <c r="J7" i="1" s="1"/>
  <c r="I8" i="1"/>
  <c r="J8" i="1"/>
  <c r="L8" i="1" s="1"/>
  <c r="I9" i="1"/>
  <c r="J9" i="1" s="1"/>
  <c r="K9" i="1" s="1"/>
  <c r="I10" i="1"/>
  <c r="J10" i="1" s="1"/>
  <c r="I11" i="1"/>
  <c r="J11" i="1"/>
  <c r="L11" i="1" s="1"/>
  <c r="K11" i="1"/>
  <c r="I12" i="1"/>
  <c r="J12" i="1" s="1"/>
  <c r="I13" i="1"/>
  <c r="J13" i="1" s="1"/>
  <c r="K13" i="1" s="1"/>
  <c r="I14" i="1"/>
  <c r="J14" i="1"/>
  <c r="K14" i="1" s="1"/>
  <c r="I15" i="1"/>
  <c r="J15" i="1" s="1"/>
  <c r="I16" i="1"/>
  <c r="J16" i="1" s="1"/>
  <c r="I17" i="1"/>
  <c r="J17" i="1" s="1"/>
  <c r="I18" i="1"/>
  <c r="J18" i="1"/>
  <c r="L18" i="1" s="1"/>
  <c r="K18" i="1"/>
  <c r="I19" i="1"/>
  <c r="J19" i="1" s="1"/>
  <c r="K19" i="1" s="1"/>
  <c r="I20" i="1"/>
  <c r="J20" i="1" s="1"/>
  <c r="K20" i="1" s="1"/>
  <c r="I21" i="1"/>
  <c r="J21" i="1" s="1"/>
  <c r="I22" i="1"/>
  <c r="J22" i="1" s="1"/>
  <c r="I23" i="1"/>
  <c r="J23" i="1"/>
  <c r="K23" i="1" s="1"/>
  <c r="I24" i="1"/>
  <c r="J24" i="1" s="1"/>
  <c r="K24" i="1" s="1"/>
  <c r="I25" i="1"/>
  <c r="J25" i="1" s="1"/>
  <c r="K25" i="1" s="1"/>
  <c r="I26" i="1"/>
  <c r="J26" i="1" s="1"/>
  <c r="K26" i="1" s="1"/>
  <c r="I27" i="1"/>
  <c r="J27" i="1" s="1"/>
  <c r="I28" i="1"/>
  <c r="J28" i="1" s="1"/>
  <c r="I29" i="1"/>
  <c r="J29" i="1" s="1"/>
  <c r="K29" i="1" s="1"/>
  <c r="I30" i="1"/>
  <c r="J30" i="1" s="1"/>
  <c r="I31" i="1"/>
  <c r="J31" i="1" s="1"/>
  <c r="K31" i="1" s="1"/>
  <c r="L23" i="1" l="1"/>
  <c r="K8" i="1"/>
  <c r="K15" i="1"/>
  <c r="L15" i="1"/>
  <c r="K30" i="1"/>
  <c r="L30" i="1"/>
  <c r="L16" i="1"/>
  <c r="K16" i="1"/>
  <c r="L26" i="1"/>
  <c r="L3" i="1"/>
  <c r="L25" i="1"/>
  <c r="K28" i="1"/>
  <c r="L28" i="1"/>
  <c r="K6" i="1"/>
  <c r="L6" i="1"/>
  <c r="K10" i="1"/>
  <c r="L10" i="1"/>
  <c r="K21" i="1"/>
  <c r="L21" i="1"/>
  <c r="L31" i="1"/>
  <c r="L13" i="1"/>
  <c r="L27" i="1"/>
  <c r="K27" i="1"/>
  <c r="K34" i="1"/>
  <c r="K33" i="1"/>
  <c r="K12" i="1"/>
  <c r="L12" i="1"/>
  <c r="K35" i="1"/>
  <c r="L22" i="1"/>
  <c r="K22" i="1"/>
  <c r="K7" i="1"/>
  <c r="L7" i="1"/>
  <c r="L17" i="1"/>
  <c r="K17" i="1"/>
  <c r="L2" i="1"/>
  <c r="K2" i="1"/>
  <c r="L20" i="1"/>
  <c r="L5" i="1"/>
  <c r="L29" i="1"/>
  <c r="L24" i="1"/>
  <c r="L19" i="1"/>
  <c r="L14" i="1"/>
  <c r="L9" i="1"/>
  <c r="L4" i="1"/>
  <c r="H35" i="1" l="1"/>
  <c r="H34" i="1"/>
  <c r="H39" i="1"/>
  <c r="H36" i="1"/>
  <c r="H38" i="1"/>
  <c r="H37" i="1"/>
</calcChain>
</file>

<file path=xl/sharedStrings.xml><?xml version="1.0" encoding="utf-8"?>
<sst xmlns="http://schemas.openxmlformats.org/spreadsheetml/2006/main" count="182" uniqueCount="71">
  <si>
    <t>Roll No.</t>
  </si>
  <si>
    <t>Name</t>
  </si>
  <si>
    <t>Trade</t>
  </si>
  <si>
    <t>Gender</t>
  </si>
  <si>
    <t>Attendance %</t>
  </si>
  <si>
    <t>Internal Marks</t>
  </si>
  <si>
    <t>Practical Marks</t>
  </si>
  <si>
    <t>Theory Marks</t>
  </si>
  <si>
    <t>Total Marks</t>
  </si>
  <si>
    <t>Percentage</t>
  </si>
  <si>
    <t>Grade</t>
  </si>
  <si>
    <t>Result</t>
  </si>
  <si>
    <t xml:space="preserve"> Aarav Kumar</t>
  </si>
  <si>
    <t>Aditya Singh</t>
  </si>
  <si>
    <t>Ankit Verma</t>
  </si>
  <si>
    <t xml:space="preserve"> Aman Yadav</t>
  </si>
  <si>
    <t>Abhishek Sharma</t>
  </si>
  <si>
    <t xml:space="preserve"> Ayush Mishra</t>
  </si>
  <si>
    <t>Rohit Kumar</t>
  </si>
  <si>
    <t xml:space="preserve"> Rahul Singh</t>
  </si>
  <si>
    <t>Rohan Verma</t>
  </si>
  <si>
    <t>Mohit Yadav</t>
  </si>
  <si>
    <t xml:space="preserve"> Vivek Sharma</t>
  </si>
  <si>
    <t>Saurabh Gupta</t>
  </si>
  <si>
    <t>Shivam Patel</t>
  </si>
  <si>
    <t>Arjun Singh</t>
  </si>
  <si>
    <t>Nikhil Verma</t>
  </si>
  <si>
    <t>Kunal Kumar</t>
  </si>
  <si>
    <t>Priya Sharma</t>
  </si>
  <si>
    <t xml:space="preserve"> Anjali Singh</t>
  </si>
  <si>
    <t>Neha Gupta</t>
  </si>
  <si>
    <t>Pooja Yadav</t>
  </si>
  <si>
    <t>Sneha Verma</t>
  </si>
  <si>
    <t>Simran Kumari</t>
  </si>
  <si>
    <t>Riya Singh</t>
  </si>
  <si>
    <t xml:space="preserve"> Komal Sharma</t>
  </si>
  <si>
    <t xml:space="preserve"> Kajal Gupta</t>
  </si>
  <si>
    <t>Muskan Yadav</t>
  </si>
  <si>
    <t>Nandini Mishra</t>
  </si>
  <si>
    <t>Aditi Kumar</t>
  </si>
  <si>
    <t xml:space="preserve"> Shreya Singh</t>
  </si>
  <si>
    <t>Electrician</t>
  </si>
  <si>
    <t>Fitter</t>
  </si>
  <si>
    <t>Computer Operator</t>
  </si>
  <si>
    <t>Welder</t>
  </si>
  <si>
    <t xml:space="preserve"> Computer Operator</t>
  </si>
  <si>
    <t xml:space="preserve"> Electrician</t>
  </si>
  <si>
    <t xml:space="preserve"> Welder</t>
  </si>
  <si>
    <t xml:space="preserve"> Fitter</t>
  </si>
  <si>
    <t>Male</t>
  </si>
  <si>
    <t>Female</t>
  </si>
  <si>
    <t>Highest %</t>
  </si>
  <si>
    <t>Lowest %</t>
  </si>
  <si>
    <t>Average%</t>
  </si>
  <si>
    <t>Pass Student</t>
  </si>
  <si>
    <t>Fail Student</t>
  </si>
  <si>
    <t>Grade A</t>
  </si>
  <si>
    <t>Grade B</t>
  </si>
  <si>
    <t>Grade D</t>
  </si>
  <si>
    <t>Grade C</t>
  </si>
  <si>
    <t>Row Labels</t>
  </si>
  <si>
    <t>Grand Total</t>
  </si>
  <si>
    <t>Average of Percentage</t>
  </si>
  <si>
    <t>Count of Roll No.</t>
  </si>
  <si>
    <t>C</t>
  </si>
  <si>
    <t>Pass</t>
  </si>
  <si>
    <t>A</t>
  </si>
  <si>
    <t>D</t>
  </si>
  <si>
    <t>Fail</t>
  </si>
  <si>
    <t>B</t>
  </si>
  <si>
    <t>Details for Average of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</si>
</sst>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D0D0D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0D0D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[PracticQuestion.xlsx]Sheet2!PivotTable3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Trade-wise Average Percentage</a:t>
            </a:r>
            <a:endParaRPr lang="en-IN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Sheet2!$E$2</c:f>
              <c:strCache>
                <c:ptCount val="1"/>
                <c:pt idx="0">
                  <c:v>Average of 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Sheet2!$D$3:$D$7</c:f>
              <c:strCache>
                <c:ptCount val="4"/>
                <c:pt idx="0">
                  <c:v>Computer Operator</c:v>
                </c:pt>
                <c:pt idx="1">
                  <c:v>Electrician</c:v>
                </c:pt>
                <c:pt idx="2">
                  <c:v>Fitter</c:v>
                </c:pt>
                <c:pt idx="3">
                  <c:v>Welder</c:v>
                </c:pt>
              </c:strCache>
            </c:strRef>
          </c:cat>
          <c:val>
            <c:numRef>
              <c:f>Sheet2!$E$3:$E$7</c:f>
              <c:numCache>
                <c:formatCode>General</c:formatCode>
                <c:ptCount val="4"/>
                <c:pt idx="0">
                  <c:v>69.208333333333343</c:v>
                </c:pt>
                <c:pt idx="1">
                  <c:v>71.75</c:v>
                </c:pt>
                <c:pt idx="2">
                  <c:v>59.958333333333321</c:v>
                </c:pt>
                <c:pt idx="3">
                  <c:v>70.722222222222229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4-4986-8915-2D937EC0986F}"/>
            </c:ext>
          </c:extLst>
        </c:ser>
        <c:ser>
          <c:idx val="1"/>
          <c:order val="1"/>
          <c:tx>
            <c:strRef>
              <c:f>Sheet2!$F$2</c:f>
              <c:strCache>
                <c:ptCount val="1"/>
                <c:pt idx="0">
                  <c:v>Count of Roll No.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Sheet2!$D$3:$D$7</c:f>
              <c:strCache>
                <c:ptCount val="4"/>
                <c:pt idx="0">
                  <c:v>Computer Operator</c:v>
                </c:pt>
                <c:pt idx="1">
                  <c:v>Electrician</c:v>
                </c:pt>
                <c:pt idx="2">
                  <c:v>Fitter</c:v>
                </c:pt>
                <c:pt idx="3">
                  <c:v>Welder</c:v>
                </c:pt>
              </c:strCache>
            </c:strRef>
          </c:cat>
          <c:val>
            <c:numRef>
              <c:f>Sheet2!$F$3:$F$7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4-4986-8915-2D937EC0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6753391"/>
        <c:axId val="957235567"/>
      </c:barChart>
      <c:catAx>
        <c:axId val="1246753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35567"/>
        <c:crosses val="autoZero"/>
        <c:auto val="1"/>
        <c:lblAlgn val="ctr"/>
        <c:lblOffset val="100"/>
        <c:noMultiLvlLbl val="0"/>
      </c:catAx>
      <c:valAx>
        <c:axId val="95723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75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8</xdr:row>
      <xdr:rowOff>123824</xdr:rowOff>
    </xdr:from>
    <xdr:to>
      <xdr:col>8</xdr:col>
      <xdr:colOff>514350</xdr:colOff>
      <xdr:row>28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89EBC-B41B-4D4B-9F1F-76FE8DAB1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iya" refreshedDate="46282.492762615744" createdVersion="8" refreshedVersion="8" minRefreshableVersion="3" recordCount="30" xr:uid="{F6C14724-B311-44F3-BF00-36F724A348B4}">
  <cacheSource type="worksheet">
    <worksheetSource ref="A1:L31" sheet="Sheet1"/>
  </cacheSource>
  <cacheFields count="12">
    <cacheField name="Roll No." numFmtId="0">
      <sharedItems containsSemiMixedTypes="0" containsString="0" containsNumber="1" containsInteger="1" minValue="101" maxValue="130"/>
    </cacheField>
    <cacheField name="Name" numFmtId="0">
      <sharedItems/>
    </cacheField>
    <cacheField name="Trade" numFmtId="0">
      <sharedItems count="8">
        <s v="Electrician"/>
        <s v="Fitter"/>
        <s v="Computer Operator"/>
        <s v="Welder"/>
        <s v=" Computer Operator" u="1"/>
        <s v=" Electrician" u="1"/>
        <s v=" Welder" u="1"/>
        <s v=" Fitter" u="1"/>
      </sharedItems>
    </cacheField>
    <cacheField name="Gender" numFmtId="0">
      <sharedItems/>
    </cacheField>
    <cacheField name="Attendance %" numFmtId="0">
      <sharedItems containsSemiMixedTypes="0" containsString="0" containsNumber="1" containsInteger="1" minValue="14" maxValue="98"/>
    </cacheField>
    <cacheField name="Internal Marks" numFmtId="0">
      <sharedItems containsSemiMixedTypes="0" containsString="0" containsNumber="1" containsInteger="1" minValue="33" maxValue="98"/>
    </cacheField>
    <cacheField name="Practical Marks" numFmtId="0">
      <sharedItems containsSemiMixedTypes="0" containsString="0" containsNumber="1" containsInteger="1" minValue="22" maxValue="97"/>
    </cacheField>
    <cacheField name="Theory Marks" numFmtId="0">
      <sharedItems containsSemiMixedTypes="0" containsString="0" containsNumber="1" containsInteger="1" minValue="35" maxValue="99"/>
    </cacheField>
    <cacheField name="Total Marks" numFmtId="0">
      <sharedItems containsSemiMixedTypes="0" containsString="0" containsNumber="1" containsInteger="1" minValue="130" maxValue="269"/>
    </cacheField>
    <cacheField name="Percentage" numFmtId="0">
      <sharedItems containsSemiMixedTypes="0" containsString="0" containsNumber="1" minValue="43.333333333333336" maxValue="89.666666666666657"/>
    </cacheField>
    <cacheField name="Grade" numFmtId="0">
      <sharedItems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1"/>
    <s v=" Aarav Kumar"/>
    <x v="0"/>
    <s v="Male"/>
    <n v="96"/>
    <n v="88"/>
    <n v="97"/>
    <n v="65"/>
    <n v="250"/>
    <n v="83.333333333333343"/>
    <s v="A"/>
    <s v="Pass"/>
  </r>
  <r>
    <n v="102"/>
    <s v="Aditya Singh"/>
    <x v="1"/>
    <s v="Male"/>
    <n v="85"/>
    <n v="56"/>
    <n v="26"/>
    <n v="69"/>
    <n v="151"/>
    <n v="50.333333333333329"/>
    <s v="C"/>
    <s v="Pass"/>
  </r>
  <r>
    <n v="103"/>
    <s v="Ankit Verma"/>
    <x v="2"/>
    <s v="Male"/>
    <n v="74"/>
    <n v="91"/>
    <n v="77"/>
    <n v="96"/>
    <n v="264"/>
    <n v="88"/>
    <s v="A"/>
    <s v="Pass"/>
  </r>
  <r>
    <n v="104"/>
    <s v=" Aman Yadav"/>
    <x v="0"/>
    <s v="Male"/>
    <n v="63"/>
    <n v="69"/>
    <n v="24"/>
    <n v="86"/>
    <n v="179"/>
    <n v="59.666666666666671"/>
    <s v="C"/>
    <s v="Pass"/>
  </r>
  <r>
    <n v="105"/>
    <s v="Abhishek Sharma"/>
    <x v="3"/>
    <s v="Male"/>
    <n v="52"/>
    <n v="85"/>
    <n v="28"/>
    <n v="76"/>
    <n v="189"/>
    <n v="63"/>
    <s v="C"/>
    <s v="Pass"/>
  </r>
  <r>
    <n v="106"/>
    <s v=" Ayush Mishra"/>
    <x v="1"/>
    <s v="Male"/>
    <n v="41"/>
    <n v="96"/>
    <n v="27"/>
    <n v="74"/>
    <n v="197"/>
    <n v="65.666666666666657"/>
    <s v="C"/>
    <s v="Pass"/>
  </r>
  <r>
    <n v="107"/>
    <s v="Rohit Kumar"/>
    <x v="2"/>
    <s v="Male"/>
    <n v="36"/>
    <n v="96"/>
    <n v="24"/>
    <n v="85"/>
    <n v="205"/>
    <n v="68.333333333333329"/>
    <s v="C"/>
    <s v="Pass"/>
  </r>
  <r>
    <n v="108"/>
    <s v=" Rahul Singh"/>
    <x v="0"/>
    <s v="Male"/>
    <n v="25"/>
    <n v="96"/>
    <n v="29"/>
    <n v="86"/>
    <n v="211"/>
    <n v="70.333333333333343"/>
    <s v="B"/>
    <s v="Pass"/>
  </r>
  <r>
    <n v="109"/>
    <s v="Rohan Verma"/>
    <x v="3"/>
    <s v="Male"/>
    <n v="14"/>
    <n v="98"/>
    <n v="28"/>
    <n v="95"/>
    <n v="221"/>
    <n v="73.666666666666671"/>
    <s v="B"/>
    <s v="Pass"/>
  </r>
  <r>
    <n v="110"/>
    <s v="Mohit Yadav"/>
    <x v="1"/>
    <s v="Male"/>
    <n v="69"/>
    <n v="33"/>
    <n v="26"/>
    <n v="71"/>
    <n v="130"/>
    <n v="43.333333333333336"/>
    <s v="D"/>
    <s v="Fail"/>
  </r>
  <r>
    <n v="111"/>
    <s v=" Vivek Sharma"/>
    <x v="2"/>
    <s v="Male"/>
    <n v="58"/>
    <n v="65"/>
    <n v="29"/>
    <n v="82"/>
    <n v="176"/>
    <n v="58.666666666666664"/>
    <s v="C"/>
    <s v="Pass"/>
  </r>
  <r>
    <n v="112"/>
    <s v="Saurabh Gupta"/>
    <x v="0"/>
    <s v="Male"/>
    <n v="47"/>
    <n v="89"/>
    <n v="87"/>
    <n v="93"/>
    <n v="269"/>
    <n v="89.666666666666657"/>
    <s v="A"/>
    <s v="Pass"/>
  </r>
  <r>
    <n v="113"/>
    <s v="Shivam Patel"/>
    <x v="3"/>
    <s v="Male"/>
    <n v="78"/>
    <n v="45"/>
    <n v="45"/>
    <n v="55"/>
    <n v="145"/>
    <n v="48.333333333333336"/>
    <s v="D"/>
    <s v="Fail"/>
  </r>
  <r>
    <n v="114"/>
    <s v="Arjun Singh"/>
    <x v="1"/>
    <s v="Male"/>
    <n v="96"/>
    <n v="75"/>
    <n v="65"/>
    <n v="83"/>
    <n v="223"/>
    <n v="74.333333333333329"/>
    <s v="B"/>
    <s v="Pass"/>
  </r>
  <r>
    <n v="115"/>
    <s v="Kunal Kumar"/>
    <x v="2"/>
    <s v="Male"/>
    <n v="45"/>
    <n v="85"/>
    <n v="85"/>
    <n v="82"/>
    <n v="252"/>
    <n v="84"/>
    <s v="A"/>
    <s v="Pass"/>
  </r>
  <r>
    <n v="116"/>
    <s v="Nikhil Verma"/>
    <x v="0"/>
    <s v="Male"/>
    <n v="32"/>
    <n v="75"/>
    <n v="86"/>
    <n v="99"/>
    <n v="260"/>
    <n v="86.666666666666671"/>
    <s v="A"/>
    <s v="Pass"/>
  </r>
  <r>
    <n v="117"/>
    <s v="Priya Sharma"/>
    <x v="1"/>
    <s v="Female"/>
    <n v="65"/>
    <n v="45"/>
    <n v="74"/>
    <n v="68"/>
    <n v="187"/>
    <n v="62.333333333333329"/>
    <s v="C"/>
    <s v="Pass"/>
  </r>
  <r>
    <n v="118"/>
    <s v=" Anjali Singh"/>
    <x v="2"/>
    <s v="Female"/>
    <n v="54"/>
    <n v="85"/>
    <n v="96"/>
    <n v="76"/>
    <n v="257"/>
    <n v="85.666666666666671"/>
    <s v="A"/>
    <s v="Pass"/>
  </r>
  <r>
    <n v="119"/>
    <s v="Neha Gupta"/>
    <x v="3"/>
    <s v="Female"/>
    <n v="98"/>
    <n v="78"/>
    <n v="84"/>
    <n v="85"/>
    <n v="247"/>
    <n v="82.333333333333343"/>
    <s v="A"/>
    <s v="Pass"/>
  </r>
  <r>
    <n v="120"/>
    <s v="Pooja Yadav"/>
    <x v="0"/>
    <s v="Female"/>
    <n v="87"/>
    <n v="87"/>
    <n v="86"/>
    <n v="35"/>
    <n v="208"/>
    <n v="69.333333333333343"/>
    <s v="C"/>
    <s v="Pass"/>
  </r>
  <r>
    <n v="121"/>
    <s v="Sneha Verma"/>
    <x v="1"/>
    <s v="Female"/>
    <n v="39"/>
    <n v="43"/>
    <n v="55"/>
    <n v="44"/>
    <n v="142"/>
    <n v="47.333333333333336"/>
    <s v="D"/>
    <s v="Fail"/>
  </r>
  <r>
    <n v="122"/>
    <s v="Simran Kumari"/>
    <x v="2"/>
    <s v="Female"/>
    <n v="28"/>
    <n v="75"/>
    <n v="66"/>
    <n v="75"/>
    <n v="216"/>
    <n v="72"/>
    <s v="B"/>
    <s v="Pass"/>
  </r>
  <r>
    <n v="123"/>
    <s v="Riya Singh"/>
    <x v="0"/>
    <s v="Female"/>
    <n v="17"/>
    <n v="84"/>
    <n v="25"/>
    <n v="68"/>
    <n v="177"/>
    <n v="59"/>
    <s v="C"/>
    <s v="Pass"/>
  </r>
  <r>
    <n v="124"/>
    <s v=" Komal Sharma"/>
    <x v="3"/>
    <s v="Female"/>
    <n v="35"/>
    <n v="88"/>
    <n v="77"/>
    <n v="66"/>
    <n v="231"/>
    <n v="77"/>
    <s v="B"/>
    <s v="Pass"/>
  </r>
  <r>
    <n v="125"/>
    <s v=" Kajal Gupta"/>
    <x v="1"/>
    <s v="Female"/>
    <n v="26"/>
    <n v="88"/>
    <n v="68"/>
    <n v="87"/>
    <n v="243"/>
    <n v="81"/>
    <s v="A"/>
    <s v="Pass"/>
  </r>
  <r>
    <n v="126"/>
    <s v="Muskan Yadav"/>
    <x v="2"/>
    <s v="Female"/>
    <n v="42"/>
    <n v="48"/>
    <n v="28"/>
    <n v="65"/>
    <n v="141"/>
    <n v="47"/>
    <s v="D"/>
    <s v="Fail"/>
  </r>
  <r>
    <n v="127"/>
    <s v="Nandini Mishra"/>
    <x v="0"/>
    <s v="Female"/>
    <n v="52"/>
    <n v="57"/>
    <n v="26"/>
    <n v="85"/>
    <n v="168"/>
    <n v="56.000000000000007"/>
    <s v="C"/>
    <s v="Pass"/>
  </r>
  <r>
    <n v="128"/>
    <s v="Aditi Kumar"/>
    <x v="3"/>
    <s v="Female"/>
    <n v="65"/>
    <n v="78"/>
    <n v="87"/>
    <n v="75"/>
    <n v="240"/>
    <n v="80"/>
    <s v="A"/>
    <s v="Pass"/>
  </r>
  <r>
    <n v="129"/>
    <s v=" Shreya Singh"/>
    <x v="1"/>
    <s v="Female"/>
    <n v="45"/>
    <n v="56"/>
    <n v="22"/>
    <n v="88"/>
    <n v="166"/>
    <n v="55.333333333333336"/>
    <s v="C"/>
    <s v="Pass"/>
  </r>
  <r>
    <n v="130"/>
    <s v=" Shreya Singh"/>
    <x v="2"/>
    <s v="Female"/>
    <n v="56"/>
    <n v="65"/>
    <n v="27"/>
    <n v="58"/>
    <n v="150"/>
    <n v="50"/>
    <s v="C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AE10C-A5F6-4DC8-939A-1BD9DF362E5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D2:F7" firstHeaderRow="0" firstDataRow="1" firstDataCol="1"/>
  <pivotFields count="12">
    <pivotField dataField="1" showAll="0"/>
    <pivotField showAll="0"/>
    <pivotField axis="axisRow" showAll="0">
      <items count="9">
        <item m="1" x="4"/>
        <item m="1" x="5"/>
        <item m="1" x="7"/>
        <item m="1" x="6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centage" fld="9" subtotal="average" baseField="0" baseItem="0"/>
    <dataField name="Count of Roll No.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D2ADE5-B7E0-40E8-886F-B0B4A84D5CB4}" name="Table3" displayName="Table3" ref="A1:L31" totalsRowShown="0" headerRowDxfId="17" dataDxfId="15" headerRowBorderDxfId="16" tableBorderDxfId="14" totalsRowBorderDxfId="13">
  <autoFilter ref="A1:L31" xr:uid="{9BD2ADE5-B7E0-40E8-886F-B0B4A84D5CB4}"/>
  <tableColumns count="12">
    <tableColumn id="1" xr3:uid="{0BA45363-AA7C-4DF8-9C90-2D54E7B3B5C7}" name="Roll No." dataDxfId="12"/>
    <tableColumn id="2" xr3:uid="{1DFC7E29-0AF4-4D1D-8B30-E3049989C69D}" name="Name" dataDxfId="11"/>
    <tableColumn id="3" xr3:uid="{74F68861-E80B-4F22-A505-852CDD7EE157}" name="Trade" dataDxfId="10"/>
    <tableColumn id="4" xr3:uid="{DA0EE868-979E-42BF-9BA7-CA8787838223}" name="Gender" dataDxfId="9"/>
    <tableColumn id="5" xr3:uid="{D4DB1B6A-099C-47CC-A9F9-54EF64029B9A}" name="Attendance %" dataDxfId="8"/>
    <tableColumn id="6" xr3:uid="{DB45B40C-2039-47B8-988C-E1CB466CDA94}" name="Internal Marks" dataDxfId="7"/>
    <tableColumn id="7" xr3:uid="{6C29E336-23CA-472F-AB1B-FB61B2E2F719}" name="Practical Marks" dataDxfId="6"/>
    <tableColumn id="8" xr3:uid="{4F2CFBF6-534D-471A-8077-7FAED221E1B8}" name="Theory Marks" dataDxfId="5"/>
    <tableColumn id="9" xr3:uid="{B8237420-4FA3-45E5-AD6E-91FB9E2B1C37}" name="Total Marks" dataDxfId="4">
      <calculatedColumnFormula>SUM(F2:H2)</calculatedColumnFormula>
    </tableColumn>
    <tableColumn id="10" xr3:uid="{29B7B8C9-4943-4127-B4B4-E4CA7A9FD808}" name="Percentage" dataDxfId="3" dataCellStyle="Percent">
      <calculatedColumnFormula>AVERAGE(I2/300)*100</calculatedColumnFormula>
    </tableColumn>
    <tableColumn id="11" xr3:uid="{0E56EC6E-1ACA-4FB4-AD67-083E5912BB09}" name="Grade" dataDxfId="2">
      <calculatedColumnFormula>IF(J2&gt;=80,"A",IF(J2&gt;=70,"B",IF(J2&gt;=50,"C","D")))</calculatedColumnFormula>
    </tableColumn>
    <tableColumn id="12" xr3:uid="{D8AF20F4-AE43-4A59-B276-49950940391B}" name="Result" dataDxfId="1">
      <calculatedColumnFormula>IF(J2&gt;=50,"Pass","Fail")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AD1B3-7818-408B-B24D-C7E797BAA9FB}" name="Table1" displayName="Table1" ref="A3:L13" totalsRowShown="0">
  <autoFilter ref="A3:L13" xr:uid="{F64AD1B3-7818-408B-B24D-C7E797BAA9FB}"/>
  <tableColumns count="12">
    <tableColumn id="1" xr3:uid="{943E75A7-D65A-4421-8185-3FADACDA265E}" name="Roll No."/>
    <tableColumn id="2" xr3:uid="{9B0F4B80-8E8E-495E-A6E3-080193E2F4E5}" name="Name"/>
    <tableColumn id="3" xr3:uid="{C3E4A2F1-CA42-43EB-9B80-B4972E217226}" name="Trade"/>
    <tableColumn id="4" xr3:uid="{ECB25D79-8BEC-4D4D-A70D-FBAB8260BDB5}" name="Gender"/>
    <tableColumn id="5" xr3:uid="{1785B47F-2EAE-4A14-B3B2-7FC0E7B6D59B}" name="Attendance %"/>
    <tableColumn id="6" xr3:uid="{57E8B380-F3F4-4F14-B0DD-57E57DF5C48F}" name="Internal Marks"/>
    <tableColumn id="7" xr3:uid="{6A85B40D-FA83-4CA5-A68C-BC6F0C2C13D6}" name="Practical Marks"/>
    <tableColumn id="8" xr3:uid="{C32DBB77-26BD-4905-A181-D36BE6F8D759}" name="Theory Marks"/>
    <tableColumn id="9" xr3:uid="{85818F5C-6FC7-4CEF-8169-726EC782BF21}" name="Total Marks"/>
    <tableColumn id="10" xr3:uid="{E273239F-A875-47A5-93EA-2ABBA203D108}" name="Percentage"/>
    <tableColumn id="11" xr3:uid="{FF5E3E97-397A-495B-8A17-3D27F4D118FE}" name="Grade"/>
    <tableColumn id="12" xr3:uid="{7BC93849-E1AF-414F-A87F-30633439F34A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1192-7FB3-46B4-BD12-FAAA64EB15A7}">
  <dimension ref="A1:L41"/>
  <sheetViews>
    <sheetView workbookViewId="0">
      <selection activeCell="B46" sqref="B46"/>
    </sheetView>
  </sheetViews>
  <sheetFormatPr defaultRowHeight="15" x14ac:dyDescent="0.25"/>
  <cols>
    <col min="1" max="1" width="10.28515625" customWidth="1"/>
    <col min="2" max="2" width="19.28515625" bestFit="1" customWidth="1"/>
    <col min="3" max="3" width="21.140625" bestFit="1" customWidth="1"/>
    <col min="4" max="4" width="17.140625" bestFit="1" customWidth="1"/>
    <col min="5" max="5" width="16" customWidth="1"/>
    <col min="6" max="6" width="16.42578125" customWidth="1"/>
    <col min="7" max="7" width="17.7109375" customWidth="1"/>
    <col min="8" max="8" width="15.42578125" customWidth="1"/>
    <col min="9" max="9" width="13.85546875" customWidth="1"/>
    <col min="10" max="10" width="13.7109375" customWidth="1"/>
    <col min="11" max="11" width="10.7109375" bestFit="1" customWidth="1"/>
    <col min="13" max="13" width="18.140625" bestFit="1" customWidth="1"/>
  </cols>
  <sheetData>
    <row r="1" spans="1:12" ht="15.75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11</v>
      </c>
    </row>
    <row r="2" spans="1:12" x14ac:dyDescent="0.25">
      <c r="A2" s="9">
        <v>101</v>
      </c>
      <c r="B2" s="7" t="s">
        <v>12</v>
      </c>
      <c r="C2" s="2" t="s">
        <v>41</v>
      </c>
      <c r="D2" s="2" t="s">
        <v>49</v>
      </c>
      <c r="E2" s="2">
        <v>96</v>
      </c>
      <c r="F2" s="2">
        <v>88</v>
      </c>
      <c r="G2" s="2">
        <v>97</v>
      </c>
      <c r="H2" s="2">
        <v>65</v>
      </c>
      <c r="I2" s="2">
        <f t="shared" ref="I2:I31" si="0">SUM(F2:H2)</f>
        <v>250</v>
      </c>
      <c r="J2" s="8">
        <f t="shared" ref="J2:J31" si="1">AVERAGE(I2/300)*100</f>
        <v>83.333333333333343</v>
      </c>
      <c r="K2" s="2" t="str">
        <f t="shared" ref="K2:K31" si="2">IF(J2&gt;=80,"A",IF(J2&gt;=70,"B",IF(J2&gt;=50,"C","D")))</f>
        <v>A</v>
      </c>
      <c r="L2" s="10" t="str">
        <f t="shared" ref="L2:L31" si="3">IF(J2&gt;=50,"Pass","Fail")</f>
        <v>Pass</v>
      </c>
    </row>
    <row r="3" spans="1:12" x14ac:dyDescent="0.25">
      <c r="A3" s="9">
        <v>102</v>
      </c>
      <c r="B3" s="7" t="s">
        <v>13</v>
      </c>
      <c r="C3" s="2" t="s">
        <v>42</v>
      </c>
      <c r="D3" s="2" t="s">
        <v>49</v>
      </c>
      <c r="E3" s="2">
        <v>85</v>
      </c>
      <c r="F3" s="2">
        <v>56</v>
      </c>
      <c r="G3" s="2">
        <v>26</v>
      </c>
      <c r="H3" s="2">
        <v>69</v>
      </c>
      <c r="I3" s="2">
        <f t="shared" si="0"/>
        <v>151</v>
      </c>
      <c r="J3" s="8">
        <f t="shared" si="1"/>
        <v>50.333333333333329</v>
      </c>
      <c r="K3" s="2" t="str">
        <f t="shared" si="2"/>
        <v>C</v>
      </c>
      <c r="L3" s="10" t="str">
        <f t="shared" si="3"/>
        <v>Pass</v>
      </c>
    </row>
    <row r="4" spans="1:12" x14ac:dyDescent="0.25">
      <c r="A4" s="9">
        <v>103</v>
      </c>
      <c r="B4" s="7" t="s">
        <v>14</v>
      </c>
      <c r="C4" s="2" t="s">
        <v>43</v>
      </c>
      <c r="D4" s="2" t="s">
        <v>49</v>
      </c>
      <c r="E4" s="2">
        <v>74</v>
      </c>
      <c r="F4" s="2">
        <v>91</v>
      </c>
      <c r="G4" s="2">
        <v>77</v>
      </c>
      <c r="H4" s="2">
        <v>96</v>
      </c>
      <c r="I4" s="2">
        <f t="shared" si="0"/>
        <v>264</v>
      </c>
      <c r="J4" s="8">
        <f t="shared" si="1"/>
        <v>88</v>
      </c>
      <c r="K4" s="2" t="str">
        <f t="shared" si="2"/>
        <v>A</v>
      </c>
      <c r="L4" s="10" t="str">
        <f t="shared" si="3"/>
        <v>Pass</v>
      </c>
    </row>
    <row r="5" spans="1:12" x14ac:dyDescent="0.25">
      <c r="A5" s="9">
        <v>104</v>
      </c>
      <c r="B5" s="7" t="s">
        <v>15</v>
      </c>
      <c r="C5" s="2" t="s">
        <v>41</v>
      </c>
      <c r="D5" s="2" t="s">
        <v>49</v>
      </c>
      <c r="E5" s="2">
        <v>63</v>
      </c>
      <c r="F5" s="2">
        <v>69</v>
      </c>
      <c r="G5" s="2">
        <v>24</v>
      </c>
      <c r="H5" s="2">
        <v>86</v>
      </c>
      <c r="I5" s="2">
        <f t="shared" si="0"/>
        <v>179</v>
      </c>
      <c r="J5" s="8">
        <f t="shared" si="1"/>
        <v>59.666666666666671</v>
      </c>
      <c r="K5" s="2" t="str">
        <f t="shared" si="2"/>
        <v>C</v>
      </c>
      <c r="L5" s="10" t="str">
        <f t="shared" si="3"/>
        <v>Pass</v>
      </c>
    </row>
    <row r="6" spans="1:12" x14ac:dyDescent="0.25">
      <c r="A6" s="9">
        <v>105</v>
      </c>
      <c r="B6" s="7" t="s">
        <v>16</v>
      </c>
      <c r="C6" s="2" t="s">
        <v>44</v>
      </c>
      <c r="D6" s="2" t="s">
        <v>49</v>
      </c>
      <c r="E6" s="2">
        <v>52</v>
      </c>
      <c r="F6" s="2">
        <v>85</v>
      </c>
      <c r="G6" s="2">
        <v>28</v>
      </c>
      <c r="H6" s="2">
        <v>76</v>
      </c>
      <c r="I6" s="2">
        <f t="shared" si="0"/>
        <v>189</v>
      </c>
      <c r="J6" s="8">
        <f t="shared" si="1"/>
        <v>63</v>
      </c>
      <c r="K6" s="2" t="str">
        <f t="shared" si="2"/>
        <v>C</v>
      </c>
      <c r="L6" s="10" t="str">
        <f t="shared" si="3"/>
        <v>Pass</v>
      </c>
    </row>
    <row r="7" spans="1:12" x14ac:dyDescent="0.25">
      <c r="A7" s="9">
        <v>106</v>
      </c>
      <c r="B7" s="7" t="s">
        <v>17</v>
      </c>
      <c r="C7" s="2" t="s">
        <v>42</v>
      </c>
      <c r="D7" s="2" t="s">
        <v>49</v>
      </c>
      <c r="E7" s="2">
        <v>41</v>
      </c>
      <c r="F7" s="2">
        <v>96</v>
      </c>
      <c r="G7" s="2">
        <v>27</v>
      </c>
      <c r="H7" s="2">
        <v>74</v>
      </c>
      <c r="I7" s="2">
        <f t="shared" si="0"/>
        <v>197</v>
      </c>
      <c r="J7" s="8">
        <f t="shared" si="1"/>
        <v>65.666666666666657</v>
      </c>
      <c r="K7" s="2" t="str">
        <f t="shared" si="2"/>
        <v>C</v>
      </c>
      <c r="L7" s="10" t="str">
        <f t="shared" si="3"/>
        <v>Pass</v>
      </c>
    </row>
    <row r="8" spans="1:12" x14ac:dyDescent="0.25">
      <c r="A8" s="9">
        <v>107</v>
      </c>
      <c r="B8" s="7" t="s">
        <v>18</v>
      </c>
      <c r="C8" s="2" t="s">
        <v>43</v>
      </c>
      <c r="D8" s="2" t="s">
        <v>49</v>
      </c>
      <c r="E8" s="2">
        <v>36</v>
      </c>
      <c r="F8" s="2">
        <v>96</v>
      </c>
      <c r="G8" s="2">
        <v>24</v>
      </c>
      <c r="H8" s="2">
        <v>85</v>
      </c>
      <c r="I8" s="2">
        <f t="shared" si="0"/>
        <v>205</v>
      </c>
      <c r="J8" s="8">
        <f t="shared" si="1"/>
        <v>68.333333333333329</v>
      </c>
      <c r="K8" s="2" t="str">
        <f t="shared" si="2"/>
        <v>C</v>
      </c>
      <c r="L8" s="10" t="str">
        <f t="shared" si="3"/>
        <v>Pass</v>
      </c>
    </row>
    <row r="9" spans="1:12" x14ac:dyDescent="0.25">
      <c r="A9" s="9">
        <v>108</v>
      </c>
      <c r="B9" s="7" t="s">
        <v>19</v>
      </c>
      <c r="C9" s="2" t="s">
        <v>41</v>
      </c>
      <c r="D9" s="2" t="s">
        <v>49</v>
      </c>
      <c r="E9" s="2">
        <v>25</v>
      </c>
      <c r="F9" s="2">
        <v>96</v>
      </c>
      <c r="G9" s="2">
        <v>29</v>
      </c>
      <c r="H9" s="2">
        <v>86</v>
      </c>
      <c r="I9" s="2">
        <f t="shared" si="0"/>
        <v>211</v>
      </c>
      <c r="J9" s="8">
        <f t="shared" si="1"/>
        <v>70.333333333333343</v>
      </c>
      <c r="K9" s="2" t="str">
        <f t="shared" si="2"/>
        <v>B</v>
      </c>
      <c r="L9" s="10" t="str">
        <f t="shared" si="3"/>
        <v>Pass</v>
      </c>
    </row>
    <row r="10" spans="1:12" x14ac:dyDescent="0.25">
      <c r="A10" s="9">
        <v>109</v>
      </c>
      <c r="B10" s="7" t="s">
        <v>20</v>
      </c>
      <c r="C10" s="2" t="s">
        <v>44</v>
      </c>
      <c r="D10" s="2" t="s">
        <v>49</v>
      </c>
      <c r="E10" s="2">
        <v>14</v>
      </c>
      <c r="F10" s="2">
        <v>98</v>
      </c>
      <c r="G10" s="2">
        <v>28</v>
      </c>
      <c r="H10" s="2">
        <v>95</v>
      </c>
      <c r="I10" s="2">
        <f t="shared" si="0"/>
        <v>221</v>
      </c>
      <c r="J10" s="8">
        <f t="shared" si="1"/>
        <v>73.666666666666671</v>
      </c>
      <c r="K10" s="2" t="str">
        <f t="shared" si="2"/>
        <v>B</v>
      </c>
      <c r="L10" s="10" t="str">
        <f t="shared" si="3"/>
        <v>Pass</v>
      </c>
    </row>
    <row r="11" spans="1:12" x14ac:dyDescent="0.25">
      <c r="A11" s="9">
        <v>110</v>
      </c>
      <c r="B11" s="7" t="s">
        <v>21</v>
      </c>
      <c r="C11" s="2" t="s">
        <v>42</v>
      </c>
      <c r="D11" s="2" t="s">
        <v>49</v>
      </c>
      <c r="E11" s="2">
        <v>69</v>
      </c>
      <c r="F11" s="2">
        <v>33</v>
      </c>
      <c r="G11" s="2">
        <v>26</v>
      </c>
      <c r="H11" s="2">
        <v>71</v>
      </c>
      <c r="I11" s="2">
        <f t="shared" si="0"/>
        <v>130</v>
      </c>
      <c r="J11" s="8">
        <f t="shared" si="1"/>
        <v>43.333333333333336</v>
      </c>
      <c r="K11" s="2" t="str">
        <f t="shared" si="2"/>
        <v>D</v>
      </c>
      <c r="L11" s="10" t="str">
        <f t="shared" si="3"/>
        <v>Fail</v>
      </c>
    </row>
    <row r="12" spans="1:12" x14ac:dyDescent="0.25">
      <c r="A12" s="9">
        <v>111</v>
      </c>
      <c r="B12" s="7" t="s">
        <v>22</v>
      </c>
      <c r="C12" s="2" t="s">
        <v>43</v>
      </c>
      <c r="D12" s="2" t="s">
        <v>49</v>
      </c>
      <c r="E12" s="2">
        <v>58</v>
      </c>
      <c r="F12" s="2">
        <v>65</v>
      </c>
      <c r="G12" s="2">
        <v>29</v>
      </c>
      <c r="H12" s="2">
        <v>82</v>
      </c>
      <c r="I12" s="2">
        <f t="shared" si="0"/>
        <v>176</v>
      </c>
      <c r="J12" s="8">
        <f t="shared" si="1"/>
        <v>58.666666666666664</v>
      </c>
      <c r="K12" s="2" t="str">
        <f t="shared" si="2"/>
        <v>C</v>
      </c>
      <c r="L12" s="10" t="str">
        <f t="shared" si="3"/>
        <v>Pass</v>
      </c>
    </row>
    <row r="13" spans="1:12" x14ac:dyDescent="0.25">
      <c r="A13" s="9">
        <v>112</v>
      </c>
      <c r="B13" s="7" t="s">
        <v>23</v>
      </c>
      <c r="C13" s="2" t="s">
        <v>41</v>
      </c>
      <c r="D13" s="2" t="s">
        <v>49</v>
      </c>
      <c r="E13" s="2">
        <v>47</v>
      </c>
      <c r="F13" s="2">
        <v>89</v>
      </c>
      <c r="G13" s="2">
        <v>87</v>
      </c>
      <c r="H13" s="2">
        <v>93</v>
      </c>
      <c r="I13" s="2">
        <f t="shared" si="0"/>
        <v>269</v>
      </c>
      <c r="J13" s="8">
        <f t="shared" si="1"/>
        <v>89.666666666666657</v>
      </c>
      <c r="K13" s="2" t="str">
        <f t="shared" si="2"/>
        <v>A</v>
      </c>
      <c r="L13" s="10" t="str">
        <f t="shared" si="3"/>
        <v>Pass</v>
      </c>
    </row>
    <row r="14" spans="1:12" x14ac:dyDescent="0.25">
      <c r="A14" s="9">
        <v>113</v>
      </c>
      <c r="B14" s="7" t="s">
        <v>24</v>
      </c>
      <c r="C14" s="2" t="s">
        <v>44</v>
      </c>
      <c r="D14" s="2" t="s">
        <v>49</v>
      </c>
      <c r="E14" s="2">
        <v>78</v>
      </c>
      <c r="F14" s="2">
        <v>45</v>
      </c>
      <c r="G14" s="2">
        <v>45</v>
      </c>
      <c r="H14" s="2">
        <v>55</v>
      </c>
      <c r="I14" s="2">
        <f t="shared" si="0"/>
        <v>145</v>
      </c>
      <c r="J14" s="8">
        <f t="shared" si="1"/>
        <v>48.333333333333336</v>
      </c>
      <c r="K14" s="2" t="str">
        <f t="shared" si="2"/>
        <v>D</v>
      </c>
      <c r="L14" s="10" t="str">
        <f t="shared" si="3"/>
        <v>Fail</v>
      </c>
    </row>
    <row r="15" spans="1:12" x14ac:dyDescent="0.25">
      <c r="A15" s="9">
        <v>114</v>
      </c>
      <c r="B15" s="7" t="s">
        <v>25</v>
      </c>
      <c r="C15" s="2" t="s">
        <v>42</v>
      </c>
      <c r="D15" s="2" t="s">
        <v>49</v>
      </c>
      <c r="E15" s="2">
        <v>96</v>
      </c>
      <c r="F15" s="2">
        <v>75</v>
      </c>
      <c r="G15" s="2">
        <v>65</v>
      </c>
      <c r="H15" s="2">
        <v>83</v>
      </c>
      <c r="I15" s="2">
        <f t="shared" si="0"/>
        <v>223</v>
      </c>
      <c r="J15" s="8">
        <f t="shared" si="1"/>
        <v>74.333333333333329</v>
      </c>
      <c r="K15" s="2" t="str">
        <f t="shared" si="2"/>
        <v>B</v>
      </c>
      <c r="L15" s="10" t="str">
        <f t="shared" si="3"/>
        <v>Pass</v>
      </c>
    </row>
    <row r="16" spans="1:12" x14ac:dyDescent="0.25">
      <c r="A16" s="9">
        <v>115</v>
      </c>
      <c r="B16" s="7" t="s">
        <v>27</v>
      </c>
      <c r="C16" s="2" t="s">
        <v>43</v>
      </c>
      <c r="D16" s="2" t="s">
        <v>49</v>
      </c>
      <c r="E16" s="2">
        <v>45</v>
      </c>
      <c r="F16" s="2">
        <v>85</v>
      </c>
      <c r="G16" s="2">
        <v>85</v>
      </c>
      <c r="H16" s="2">
        <v>82</v>
      </c>
      <c r="I16" s="2">
        <f t="shared" si="0"/>
        <v>252</v>
      </c>
      <c r="J16" s="8">
        <f t="shared" si="1"/>
        <v>84</v>
      </c>
      <c r="K16" s="2" t="str">
        <f t="shared" si="2"/>
        <v>A</v>
      </c>
      <c r="L16" s="10" t="str">
        <f t="shared" si="3"/>
        <v>Pass</v>
      </c>
    </row>
    <row r="17" spans="1:12" x14ac:dyDescent="0.25">
      <c r="A17" s="9">
        <v>116</v>
      </c>
      <c r="B17" s="7" t="s">
        <v>26</v>
      </c>
      <c r="C17" s="2" t="s">
        <v>41</v>
      </c>
      <c r="D17" s="2" t="s">
        <v>49</v>
      </c>
      <c r="E17" s="2">
        <v>32</v>
      </c>
      <c r="F17" s="2">
        <v>75</v>
      </c>
      <c r="G17" s="2">
        <v>86</v>
      </c>
      <c r="H17" s="2">
        <v>99</v>
      </c>
      <c r="I17" s="2">
        <f t="shared" si="0"/>
        <v>260</v>
      </c>
      <c r="J17" s="8">
        <f t="shared" si="1"/>
        <v>86.666666666666671</v>
      </c>
      <c r="K17" s="2" t="str">
        <f t="shared" si="2"/>
        <v>A</v>
      </c>
      <c r="L17" s="10" t="str">
        <f t="shared" si="3"/>
        <v>Pass</v>
      </c>
    </row>
    <row r="18" spans="1:12" x14ac:dyDescent="0.25">
      <c r="A18" s="9">
        <v>117</v>
      </c>
      <c r="B18" s="7" t="s">
        <v>28</v>
      </c>
      <c r="C18" s="2" t="s">
        <v>42</v>
      </c>
      <c r="D18" s="2" t="s">
        <v>50</v>
      </c>
      <c r="E18" s="2">
        <v>65</v>
      </c>
      <c r="F18" s="2">
        <v>45</v>
      </c>
      <c r="G18" s="2">
        <v>74</v>
      </c>
      <c r="H18" s="2">
        <v>68</v>
      </c>
      <c r="I18" s="2">
        <f t="shared" si="0"/>
        <v>187</v>
      </c>
      <c r="J18" s="8">
        <f t="shared" si="1"/>
        <v>62.333333333333329</v>
      </c>
      <c r="K18" s="2" t="str">
        <f t="shared" si="2"/>
        <v>C</v>
      </c>
      <c r="L18" s="10" t="str">
        <f t="shared" si="3"/>
        <v>Pass</v>
      </c>
    </row>
    <row r="19" spans="1:12" x14ac:dyDescent="0.25">
      <c r="A19" s="9">
        <v>118</v>
      </c>
      <c r="B19" s="7" t="s">
        <v>29</v>
      </c>
      <c r="C19" s="2" t="s">
        <v>43</v>
      </c>
      <c r="D19" s="2" t="s">
        <v>50</v>
      </c>
      <c r="E19" s="2">
        <v>54</v>
      </c>
      <c r="F19" s="2">
        <v>85</v>
      </c>
      <c r="G19" s="2">
        <v>96</v>
      </c>
      <c r="H19" s="2">
        <v>76</v>
      </c>
      <c r="I19" s="2">
        <f t="shared" si="0"/>
        <v>257</v>
      </c>
      <c r="J19" s="8">
        <f t="shared" si="1"/>
        <v>85.666666666666671</v>
      </c>
      <c r="K19" s="2" t="str">
        <f t="shared" si="2"/>
        <v>A</v>
      </c>
      <c r="L19" s="10" t="str">
        <f t="shared" si="3"/>
        <v>Pass</v>
      </c>
    </row>
    <row r="20" spans="1:12" x14ac:dyDescent="0.25">
      <c r="A20" s="9">
        <v>119</v>
      </c>
      <c r="B20" s="7" t="s">
        <v>30</v>
      </c>
      <c r="C20" s="2" t="s">
        <v>44</v>
      </c>
      <c r="D20" s="2" t="s">
        <v>50</v>
      </c>
      <c r="E20" s="2">
        <v>98</v>
      </c>
      <c r="F20" s="2">
        <v>78</v>
      </c>
      <c r="G20" s="2">
        <v>84</v>
      </c>
      <c r="H20" s="2">
        <v>85</v>
      </c>
      <c r="I20" s="2">
        <f t="shared" si="0"/>
        <v>247</v>
      </c>
      <c r="J20" s="8">
        <f t="shared" si="1"/>
        <v>82.333333333333343</v>
      </c>
      <c r="K20" s="2" t="str">
        <f t="shared" si="2"/>
        <v>A</v>
      </c>
      <c r="L20" s="10" t="str">
        <f t="shared" si="3"/>
        <v>Pass</v>
      </c>
    </row>
    <row r="21" spans="1:12" x14ac:dyDescent="0.25">
      <c r="A21" s="9">
        <v>120</v>
      </c>
      <c r="B21" s="7" t="s">
        <v>31</v>
      </c>
      <c r="C21" s="2" t="s">
        <v>41</v>
      </c>
      <c r="D21" s="2" t="s">
        <v>50</v>
      </c>
      <c r="E21" s="2">
        <v>87</v>
      </c>
      <c r="F21" s="2">
        <v>87</v>
      </c>
      <c r="G21" s="2">
        <v>86</v>
      </c>
      <c r="H21" s="2">
        <v>35</v>
      </c>
      <c r="I21" s="2">
        <f t="shared" si="0"/>
        <v>208</v>
      </c>
      <c r="J21" s="8">
        <f t="shared" si="1"/>
        <v>69.333333333333343</v>
      </c>
      <c r="K21" s="2" t="str">
        <f t="shared" si="2"/>
        <v>C</v>
      </c>
      <c r="L21" s="10" t="str">
        <f t="shared" si="3"/>
        <v>Pass</v>
      </c>
    </row>
    <row r="22" spans="1:12" x14ac:dyDescent="0.25">
      <c r="A22" s="9">
        <v>121</v>
      </c>
      <c r="B22" s="7" t="s">
        <v>32</v>
      </c>
      <c r="C22" s="2" t="s">
        <v>42</v>
      </c>
      <c r="D22" s="2" t="s">
        <v>50</v>
      </c>
      <c r="E22" s="2">
        <v>39</v>
      </c>
      <c r="F22" s="2">
        <v>43</v>
      </c>
      <c r="G22" s="2">
        <v>55</v>
      </c>
      <c r="H22" s="2">
        <v>44</v>
      </c>
      <c r="I22" s="2">
        <f t="shared" si="0"/>
        <v>142</v>
      </c>
      <c r="J22" s="8">
        <f t="shared" si="1"/>
        <v>47.333333333333336</v>
      </c>
      <c r="K22" s="2" t="str">
        <f t="shared" si="2"/>
        <v>D</v>
      </c>
      <c r="L22" s="10" t="str">
        <f t="shared" si="3"/>
        <v>Fail</v>
      </c>
    </row>
    <row r="23" spans="1:12" x14ac:dyDescent="0.25">
      <c r="A23" s="9">
        <v>122</v>
      </c>
      <c r="B23" s="7" t="s">
        <v>33</v>
      </c>
      <c r="C23" s="2" t="s">
        <v>43</v>
      </c>
      <c r="D23" s="2" t="s">
        <v>50</v>
      </c>
      <c r="E23" s="2">
        <v>28</v>
      </c>
      <c r="F23" s="2">
        <v>75</v>
      </c>
      <c r="G23" s="2">
        <v>66</v>
      </c>
      <c r="H23" s="2">
        <v>75</v>
      </c>
      <c r="I23" s="2">
        <f t="shared" si="0"/>
        <v>216</v>
      </c>
      <c r="J23" s="8">
        <f t="shared" si="1"/>
        <v>72</v>
      </c>
      <c r="K23" s="2" t="str">
        <f t="shared" si="2"/>
        <v>B</v>
      </c>
      <c r="L23" s="10" t="str">
        <f t="shared" si="3"/>
        <v>Pass</v>
      </c>
    </row>
    <row r="24" spans="1:12" x14ac:dyDescent="0.25">
      <c r="A24" s="9">
        <v>123</v>
      </c>
      <c r="B24" s="7" t="s">
        <v>34</v>
      </c>
      <c r="C24" s="2" t="s">
        <v>41</v>
      </c>
      <c r="D24" s="2" t="s">
        <v>50</v>
      </c>
      <c r="E24" s="2">
        <v>17</v>
      </c>
      <c r="F24" s="2">
        <v>84</v>
      </c>
      <c r="G24" s="2">
        <v>25</v>
      </c>
      <c r="H24" s="2">
        <v>68</v>
      </c>
      <c r="I24" s="2">
        <f t="shared" si="0"/>
        <v>177</v>
      </c>
      <c r="J24" s="8">
        <f t="shared" si="1"/>
        <v>59</v>
      </c>
      <c r="K24" s="2" t="str">
        <f t="shared" si="2"/>
        <v>C</v>
      </c>
      <c r="L24" s="10" t="str">
        <f t="shared" si="3"/>
        <v>Pass</v>
      </c>
    </row>
    <row r="25" spans="1:12" x14ac:dyDescent="0.25">
      <c r="A25" s="9">
        <v>124</v>
      </c>
      <c r="B25" s="7" t="s">
        <v>35</v>
      </c>
      <c r="C25" s="2" t="s">
        <v>44</v>
      </c>
      <c r="D25" s="2" t="s">
        <v>50</v>
      </c>
      <c r="E25" s="2">
        <v>35</v>
      </c>
      <c r="F25" s="2">
        <v>88</v>
      </c>
      <c r="G25" s="2">
        <v>77</v>
      </c>
      <c r="H25" s="2">
        <v>66</v>
      </c>
      <c r="I25" s="2">
        <f t="shared" si="0"/>
        <v>231</v>
      </c>
      <c r="J25" s="8">
        <f t="shared" si="1"/>
        <v>77</v>
      </c>
      <c r="K25" s="2" t="str">
        <f t="shared" si="2"/>
        <v>B</v>
      </c>
      <c r="L25" s="10" t="str">
        <f t="shared" si="3"/>
        <v>Pass</v>
      </c>
    </row>
    <row r="26" spans="1:12" x14ac:dyDescent="0.25">
      <c r="A26" s="9">
        <v>125</v>
      </c>
      <c r="B26" s="7" t="s">
        <v>36</v>
      </c>
      <c r="C26" s="2" t="s">
        <v>42</v>
      </c>
      <c r="D26" s="2" t="s">
        <v>50</v>
      </c>
      <c r="E26" s="2">
        <v>26</v>
      </c>
      <c r="F26" s="2">
        <v>88</v>
      </c>
      <c r="G26" s="2">
        <v>68</v>
      </c>
      <c r="H26" s="2">
        <v>87</v>
      </c>
      <c r="I26" s="2">
        <f t="shared" si="0"/>
        <v>243</v>
      </c>
      <c r="J26" s="8">
        <f t="shared" si="1"/>
        <v>81</v>
      </c>
      <c r="K26" s="2" t="str">
        <f t="shared" si="2"/>
        <v>A</v>
      </c>
      <c r="L26" s="10" t="str">
        <f t="shared" si="3"/>
        <v>Pass</v>
      </c>
    </row>
    <row r="27" spans="1:12" x14ac:dyDescent="0.25">
      <c r="A27" s="9">
        <v>126</v>
      </c>
      <c r="B27" s="7" t="s">
        <v>37</v>
      </c>
      <c r="C27" s="2" t="s">
        <v>43</v>
      </c>
      <c r="D27" s="2" t="s">
        <v>50</v>
      </c>
      <c r="E27" s="2">
        <v>42</v>
      </c>
      <c r="F27" s="2">
        <v>48</v>
      </c>
      <c r="G27" s="2">
        <v>28</v>
      </c>
      <c r="H27" s="2">
        <v>65</v>
      </c>
      <c r="I27" s="2">
        <f t="shared" si="0"/>
        <v>141</v>
      </c>
      <c r="J27" s="8">
        <f t="shared" si="1"/>
        <v>47</v>
      </c>
      <c r="K27" s="2" t="str">
        <f t="shared" si="2"/>
        <v>D</v>
      </c>
      <c r="L27" s="10" t="str">
        <f t="shared" si="3"/>
        <v>Fail</v>
      </c>
    </row>
    <row r="28" spans="1:12" x14ac:dyDescent="0.25">
      <c r="A28" s="9">
        <v>127</v>
      </c>
      <c r="B28" s="7" t="s">
        <v>38</v>
      </c>
      <c r="C28" s="2" t="s">
        <v>41</v>
      </c>
      <c r="D28" s="2" t="s">
        <v>50</v>
      </c>
      <c r="E28" s="2">
        <v>52</v>
      </c>
      <c r="F28" s="2">
        <v>57</v>
      </c>
      <c r="G28" s="2">
        <v>26</v>
      </c>
      <c r="H28" s="2">
        <v>85</v>
      </c>
      <c r="I28" s="2">
        <f t="shared" si="0"/>
        <v>168</v>
      </c>
      <c r="J28" s="8">
        <f t="shared" si="1"/>
        <v>56.000000000000007</v>
      </c>
      <c r="K28" s="2" t="str">
        <f t="shared" si="2"/>
        <v>C</v>
      </c>
      <c r="L28" s="10" t="str">
        <f t="shared" si="3"/>
        <v>Pass</v>
      </c>
    </row>
    <row r="29" spans="1:12" x14ac:dyDescent="0.25">
      <c r="A29" s="9">
        <v>128</v>
      </c>
      <c r="B29" s="7" t="s">
        <v>39</v>
      </c>
      <c r="C29" s="2" t="s">
        <v>44</v>
      </c>
      <c r="D29" s="2" t="s">
        <v>50</v>
      </c>
      <c r="E29" s="2">
        <v>65</v>
      </c>
      <c r="F29" s="2">
        <v>78</v>
      </c>
      <c r="G29" s="2">
        <v>87</v>
      </c>
      <c r="H29" s="2">
        <v>75</v>
      </c>
      <c r="I29" s="2">
        <f t="shared" si="0"/>
        <v>240</v>
      </c>
      <c r="J29" s="8">
        <f t="shared" si="1"/>
        <v>80</v>
      </c>
      <c r="K29" s="2" t="str">
        <f t="shared" si="2"/>
        <v>A</v>
      </c>
      <c r="L29" s="10" t="str">
        <f t="shared" si="3"/>
        <v>Pass</v>
      </c>
    </row>
    <row r="30" spans="1:12" x14ac:dyDescent="0.25">
      <c r="A30" s="9">
        <v>129</v>
      </c>
      <c r="B30" s="7" t="s">
        <v>40</v>
      </c>
      <c r="C30" s="2" t="s">
        <v>42</v>
      </c>
      <c r="D30" s="2" t="s">
        <v>50</v>
      </c>
      <c r="E30" s="2">
        <v>45</v>
      </c>
      <c r="F30" s="2">
        <v>56</v>
      </c>
      <c r="G30" s="2">
        <v>22</v>
      </c>
      <c r="H30" s="2">
        <v>88</v>
      </c>
      <c r="I30" s="2">
        <f t="shared" si="0"/>
        <v>166</v>
      </c>
      <c r="J30" s="8">
        <f t="shared" si="1"/>
        <v>55.333333333333336</v>
      </c>
      <c r="K30" s="2" t="str">
        <f t="shared" si="2"/>
        <v>C</v>
      </c>
      <c r="L30" s="10" t="str">
        <f t="shared" si="3"/>
        <v>Pass</v>
      </c>
    </row>
    <row r="31" spans="1:12" x14ac:dyDescent="0.25">
      <c r="A31" s="14">
        <v>130</v>
      </c>
      <c r="B31" s="15" t="s">
        <v>40</v>
      </c>
      <c r="C31" s="16" t="s">
        <v>43</v>
      </c>
      <c r="D31" s="16" t="s">
        <v>50</v>
      </c>
      <c r="E31" s="16">
        <v>56</v>
      </c>
      <c r="F31" s="16">
        <v>65</v>
      </c>
      <c r="G31" s="16">
        <v>27</v>
      </c>
      <c r="H31" s="16">
        <v>58</v>
      </c>
      <c r="I31" s="16">
        <f t="shared" si="0"/>
        <v>150</v>
      </c>
      <c r="J31" s="17">
        <f t="shared" si="1"/>
        <v>50</v>
      </c>
      <c r="K31" s="16" t="str">
        <f t="shared" si="2"/>
        <v>C</v>
      </c>
      <c r="L31" s="18" t="str">
        <f t="shared" si="3"/>
        <v>Pass</v>
      </c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6" t="s">
        <v>51</v>
      </c>
      <c r="K33" s="1">
        <f>MAX(J2:J31)</f>
        <v>89.666666666666657</v>
      </c>
      <c r="L33" s="1"/>
    </row>
    <row r="34" spans="1:12" x14ac:dyDescent="0.25">
      <c r="A34" s="1"/>
      <c r="B34" s="1"/>
      <c r="C34" s="1"/>
      <c r="D34" s="1"/>
      <c r="E34" s="1"/>
      <c r="F34" s="1"/>
      <c r="G34" s="1" t="s">
        <v>54</v>
      </c>
      <c r="H34" s="1">
        <f>COUNTIF(L2:L31,"Pass")</f>
        <v>26</v>
      </c>
      <c r="I34" s="1"/>
      <c r="J34" s="6" t="s">
        <v>52</v>
      </c>
      <c r="K34" s="1">
        <f>MIN(J2:J31)</f>
        <v>43.333333333333336</v>
      </c>
      <c r="L34" s="1"/>
    </row>
    <row r="35" spans="1:12" x14ac:dyDescent="0.25">
      <c r="A35" s="1"/>
      <c r="B35" s="1"/>
      <c r="C35" s="1"/>
      <c r="D35" s="1"/>
      <c r="E35" s="1"/>
      <c r="F35" s="1"/>
      <c r="G35" s="1" t="s">
        <v>55</v>
      </c>
      <c r="H35" s="1">
        <f>COUNTIF(L2:L31,"Fail")</f>
        <v>4</v>
      </c>
      <c r="I35" s="1"/>
      <c r="J35" s="6" t="s">
        <v>53</v>
      </c>
      <c r="K35" s="1">
        <f>AVERAGE(J2:J31)</f>
        <v>67.722222222222214</v>
      </c>
      <c r="L35" s="1"/>
    </row>
    <row r="36" spans="1:12" x14ac:dyDescent="0.25">
      <c r="A36" s="1"/>
      <c r="B36" s="1"/>
      <c r="C36" s="1"/>
      <c r="D36" s="1"/>
      <c r="E36" s="1"/>
      <c r="F36" s="1"/>
      <c r="G36" s="6" t="s">
        <v>56</v>
      </c>
      <c r="H36" s="1">
        <f>COUNTIF(K2:K31,"A")</f>
        <v>9</v>
      </c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6" t="s">
        <v>57</v>
      </c>
      <c r="H37" s="1">
        <f>COUNTIF(K2:K31,"B")</f>
        <v>5</v>
      </c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6" t="s">
        <v>59</v>
      </c>
      <c r="H38" s="1">
        <f>COUNTIF(K2:K31,"C")</f>
        <v>12</v>
      </c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6" t="s">
        <v>58</v>
      </c>
      <c r="H39" s="1">
        <f>COUNTIF(K2:K31,"D")</f>
        <v>4</v>
      </c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conditionalFormatting sqref="J2:J31">
    <cfRule type="cellIs" dxfId="0" priority="1" operator="greaterThan">
      <formula>80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4BD8-AA76-4E45-A719-7996A820C1F9}">
  <dimension ref="A1:L13"/>
  <sheetViews>
    <sheetView topLeftCell="D1" workbookViewId="0">
      <selection activeCell="P15" sqref="P15"/>
    </sheetView>
  </sheetViews>
  <sheetFormatPr defaultRowHeight="15" x14ac:dyDescent="0.25"/>
  <cols>
    <col min="1" max="1" width="10.42578125" bestFit="1" customWidth="1"/>
    <col min="2" max="2" width="14.5703125" bestFit="1" customWidth="1"/>
    <col min="3" max="3" width="18.5703125" bestFit="1" customWidth="1"/>
    <col min="4" max="4" width="10" bestFit="1" customWidth="1"/>
    <col min="5" max="5" width="15.7109375" bestFit="1" customWidth="1"/>
    <col min="6" max="6" width="16.140625" bestFit="1" customWidth="1"/>
    <col min="7" max="7" width="16.85546875" bestFit="1" customWidth="1"/>
    <col min="8" max="8" width="15.140625" bestFit="1" customWidth="1"/>
    <col min="9" max="10" width="13.42578125" bestFit="1" customWidth="1"/>
    <col min="11" max="12" width="9.28515625" bestFit="1" customWidth="1"/>
    <col min="13" max="13" width="12.28515625" bestFit="1" customWidth="1"/>
    <col min="14" max="14" width="11.7109375" bestFit="1" customWidth="1"/>
    <col min="15" max="15" width="12" bestFit="1" customWidth="1"/>
    <col min="16" max="17" width="10.28515625" bestFit="1" customWidth="1"/>
    <col min="18" max="19" width="10.5703125" bestFit="1" customWidth="1"/>
  </cols>
  <sheetData>
    <row r="1" spans="1:12" x14ac:dyDescent="0.25">
      <c r="A1" s="5" t="s">
        <v>70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A4">
        <v>130</v>
      </c>
      <c r="B4" t="s">
        <v>40</v>
      </c>
      <c r="C4" t="s">
        <v>45</v>
      </c>
      <c r="D4" t="s">
        <v>50</v>
      </c>
      <c r="E4">
        <v>56</v>
      </c>
      <c r="F4">
        <v>65</v>
      </c>
      <c r="G4">
        <v>27</v>
      </c>
      <c r="H4">
        <v>58</v>
      </c>
      <c r="I4">
        <v>150</v>
      </c>
      <c r="J4">
        <v>50</v>
      </c>
      <c r="K4" t="s">
        <v>64</v>
      </c>
      <c r="L4" t="s">
        <v>65</v>
      </c>
    </row>
    <row r="5" spans="1:12" x14ac:dyDescent="0.25">
      <c r="A5">
        <v>111</v>
      </c>
      <c r="B5" t="s">
        <v>22</v>
      </c>
      <c r="C5" t="s">
        <v>45</v>
      </c>
      <c r="D5" t="s">
        <v>49</v>
      </c>
      <c r="E5">
        <v>58</v>
      </c>
      <c r="F5">
        <v>65</v>
      </c>
      <c r="G5">
        <v>29</v>
      </c>
      <c r="H5">
        <v>82</v>
      </c>
      <c r="I5">
        <v>176</v>
      </c>
      <c r="J5">
        <v>58.666666666666664</v>
      </c>
      <c r="K5" t="s">
        <v>64</v>
      </c>
      <c r="L5" t="s">
        <v>65</v>
      </c>
    </row>
    <row r="6" spans="1:12" x14ac:dyDescent="0.25">
      <c r="A6">
        <v>123</v>
      </c>
      <c r="B6" t="s">
        <v>34</v>
      </c>
      <c r="C6" t="s">
        <v>46</v>
      </c>
      <c r="D6" t="s">
        <v>50</v>
      </c>
      <c r="E6">
        <v>17</v>
      </c>
      <c r="F6">
        <v>84</v>
      </c>
      <c r="G6">
        <v>25</v>
      </c>
      <c r="H6">
        <v>68</v>
      </c>
      <c r="I6">
        <v>177</v>
      </c>
      <c r="J6">
        <v>59</v>
      </c>
      <c r="K6" t="s">
        <v>64</v>
      </c>
      <c r="L6" t="s">
        <v>65</v>
      </c>
    </row>
    <row r="7" spans="1:12" x14ac:dyDescent="0.25">
      <c r="A7">
        <v>112</v>
      </c>
      <c r="B7" t="s">
        <v>23</v>
      </c>
      <c r="C7" t="s">
        <v>46</v>
      </c>
      <c r="D7" t="s">
        <v>49</v>
      </c>
      <c r="E7">
        <v>47</v>
      </c>
      <c r="F7">
        <v>89</v>
      </c>
      <c r="G7">
        <v>87</v>
      </c>
      <c r="H7">
        <v>93</v>
      </c>
      <c r="I7">
        <v>269</v>
      </c>
      <c r="J7">
        <v>89.666666666666657</v>
      </c>
      <c r="K7" t="s">
        <v>66</v>
      </c>
      <c r="L7" t="s">
        <v>65</v>
      </c>
    </row>
    <row r="8" spans="1:12" x14ac:dyDescent="0.25">
      <c r="A8">
        <v>129</v>
      </c>
      <c r="B8" t="s">
        <v>40</v>
      </c>
      <c r="C8" t="s">
        <v>48</v>
      </c>
      <c r="D8" t="s">
        <v>50</v>
      </c>
      <c r="E8">
        <v>45</v>
      </c>
      <c r="F8">
        <v>56</v>
      </c>
      <c r="G8">
        <v>22</v>
      </c>
      <c r="H8">
        <v>88</v>
      </c>
      <c r="I8">
        <v>166</v>
      </c>
      <c r="J8">
        <v>55.333333333333336</v>
      </c>
      <c r="K8" t="s">
        <v>64</v>
      </c>
      <c r="L8" t="s">
        <v>65</v>
      </c>
    </row>
    <row r="9" spans="1:12" x14ac:dyDescent="0.25">
      <c r="A9">
        <v>125</v>
      </c>
      <c r="B9" t="s">
        <v>36</v>
      </c>
      <c r="C9" t="s">
        <v>48</v>
      </c>
      <c r="D9" t="s">
        <v>50</v>
      </c>
      <c r="E9">
        <v>26</v>
      </c>
      <c r="F9">
        <v>88</v>
      </c>
      <c r="G9">
        <v>68</v>
      </c>
      <c r="H9">
        <v>87</v>
      </c>
      <c r="I9">
        <v>243</v>
      </c>
      <c r="J9">
        <v>81</v>
      </c>
      <c r="K9" t="s">
        <v>66</v>
      </c>
      <c r="L9" t="s">
        <v>65</v>
      </c>
    </row>
    <row r="10" spans="1:12" x14ac:dyDescent="0.25">
      <c r="A10">
        <v>121</v>
      </c>
      <c r="B10" t="s">
        <v>32</v>
      </c>
      <c r="C10" t="s">
        <v>48</v>
      </c>
      <c r="D10" t="s">
        <v>50</v>
      </c>
      <c r="E10">
        <v>39</v>
      </c>
      <c r="F10">
        <v>43</v>
      </c>
      <c r="G10">
        <v>55</v>
      </c>
      <c r="H10">
        <v>44</v>
      </c>
      <c r="I10">
        <v>142</v>
      </c>
      <c r="J10">
        <v>47.333333333333336</v>
      </c>
      <c r="K10" t="s">
        <v>67</v>
      </c>
      <c r="L10" t="s">
        <v>68</v>
      </c>
    </row>
    <row r="11" spans="1:12" x14ac:dyDescent="0.25">
      <c r="A11">
        <v>114</v>
      </c>
      <c r="B11" t="s">
        <v>25</v>
      </c>
      <c r="C11" t="s">
        <v>48</v>
      </c>
      <c r="D11" t="s">
        <v>49</v>
      </c>
      <c r="E11">
        <v>96</v>
      </c>
      <c r="F11">
        <v>75</v>
      </c>
      <c r="G11">
        <v>65</v>
      </c>
      <c r="H11">
        <v>83</v>
      </c>
      <c r="I11">
        <v>223</v>
      </c>
      <c r="J11">
        <v>74.333333333333329</v>
      </c>
      <c r="K11" t="s">
        <v>69</v>
      </c>
      <c r="L11" t="s">
        <v>65</v>
      </c>
    </row>
    <row r="12" spans="1:12" x14ac:dyDescent="0.25">
      <c r="A12">
        <v>124</v>
      </c>
      <c r="B12" t="s">
        <v>35</v>
      </c>
      <c r="C12" t="s">
        <v>47</v>
      </c>
      <c r="D12" t="s">
        <v>50</v>
      </c>
      <c r="E12">
        <v>35</v>
      </c>
      <c r="F12">
        <v>88</v>
      </c>
      <c r="G12">
        <v>77</v>
      </c>
      <c r="H12">
        <v>66</v>
      </c>
      <c r="I12">
        <v>231</v>
      </c>
      <c r="J12">
        <v>77</v>
      </c>
      <c r="K12" t="s">
        <v>69</v>
      </c>
      <c r="L12" t="s">
        <v>65</v>
      </c>
    </row>
    <row r="13" spans="1:12" x14ac:dyDescent="0.25">
      <c r="A13">
        <v>113</v>
      </c>
      <c r="B13" t="s">
        <v>24</v>
      </c>
      <c r="C13" t="s">
        <v>47</v>
      </c>
      <c r="D13" t="s">
        <v>49</v>
      </c>
      <c r="E13">
        <v>78</v>
      </c>
      <c r="F13">
        <v>45</v>
      </c>
      <c r="G13">
        <v>45</v>
      </c>
      <c r="H13">
        <v>55</v>
      </c>
      <c r="I13">
        <v>145</v>
      </c>
      <c r="J13">
        <v>48.333333333333336</v>
      </c>
      <c r="K13" t="s">
        <v>67</v>
      </c>
      <c r="L13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4522-E33D-4353-85B3-5849883FC877}">
  <dimension ref="D2:F7"/>
  <sheetViews>
    <sheetView tabSelected="1" workbookViewId="0">
      <selection activeCell="K12" sqref="K12"/>
    </sheetView>
  </sheetViews>
  <sheetFormatPr defaultRowHeight="15" x14ac:dyDescent="0.25"/>
  <cols>
    <col min="1" max="1" width="18.140625" bestFit="1" customWidth="1"/>
    <col min="2" max="2" width="21.42578125" bestFit="1" customWidth="1"/>
    <col min="3" max="4" width="16.5703125" bestFit="1" customWidth="1"/>
    <col min="5" max="5" width="21.42578125" bestFit="1" customWidth="1"/>
    <col min="6" max="6" width="16.5703125" bestFit="1" customWidth="1"/>
  </cols>
  <sheetData>
    <row r="2" spans="4:6" x14ac:dyDescent="0.25">
      <c r="D2" s="3" t="s">
        <v>60</v>
      </c>
      <c r="E2" t="s">
        <v>62</v>
      </c>
      <c r="F2" t="s">
        <v>63</v>
      </c>
    </row>
    <row r="3" spans="4:6" x14ac:dyDescent="0.25">
      <c r="D3" s="4" t="s">
        <v>43</v>
      </c>
      <c r="E3">
        <v>69.208333333333343</v>
      </c>
      <c r="F3">
        <v>8</v>
      </c>
    </row>
    <row r="4" spans="4:6" x14ac:dyDescent="0.25">
      <c r="D4" s="4" t="s">
        <v>41</v>
      </c>
      <c r="E4">
        <v>71.75</v>
      </c>
      <c r="F4">
        <v>8</v>
      </c>
    </row>
    <row r="5" spans="4:6" x14ac:dyDescent="0.25">
      <c r="D5" s="4" t="s">
        <v>42</v>
      </c>
      <c r="E5">
        <v>59.958333333333321</v>
      </c>
      <c r="F5">
        <v>8</v>
      </c>
    </row>
    <row r="6" spans="4:6" x14ac:dyDescent="0.25">
      <c r="D6" s="4" t="s">
        <v>44</v>
      </c>
      <c r="E6">
        <v>70.722222222222229</v>
      </c>
      <c r="F6">
        <v>6</v>
      </c>
    </row>
    <row r="7" spans="4:6" x14ac:dyDescent="0.25">
      <c r="D7" s="4" t="s">
        <v>61</v>
      </c>
      <c r="E7">
        <v>67.722222222222214</v>
      </c>
      <c r="F7">
        <v>30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Detail1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</dc:creator>
  <cp:lastModifiedBy>Supriya</cp:lastModifiedBy>
  <dcterms:created xsi:type="dcterms:W3CDTF">2026-09-16T10:59:13Z</dcterms:created>
  <dcterms:modified xsi:type="dcterms:W3CDTF">2026-09-17T06:56:59Z</dcterms:modified>
</cp:coreProperties>
</file>