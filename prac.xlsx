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iya\Desktop\"/>
    </mc:Choice>
  </mc:AlternateContent>
  <xr:revisionPtr revIDLastSave="0" documentId="13_ncr:1_{F1F2EE8B-270D-4A45-8C5B-1350E9C64270}" xr6:coauthVersionLast="47" xr6:coauthVersionMax="47" xr10:uidLastSave="{00000000-0000-0000-0000-000000000000}"/>
  <bookViews>
    <workbookView xWindow="-120" yWindow="-120" windowWidth="24240" windowHeight="13020" xr2:uid="{E4728A02-D877-4B4F-A3E2-C2E1496920AD}"/>
  </bookViews>
  <sheets>
    <sheet name="Sheet1" sheetId="1" r:id="rId1"/>
  </sheets>
  <definedNames>
    <definedName name="_xlnm._FilterDatabase" localSheetId="0" hidden="1">Sheet1!$A$2:$H$22</definedName>
  </definedNames>
  <calcPr calcId="191029"/>
  <pivotCaches>
    <pivotCache cacheId="27" r:id="rId2"/>
    <pivotCache cacheId="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10" i="1"/>
  <c r="E11" i="1"/>
  <c r="E7" i="1"/>
  <c r="E4" i="1"/>
  <c r="E12" i="1"/>
  <c r="E13" i="1"/>
  <c r="E18" i="1"/>
  <c r="E16" i="1"/>
  <c r="E5" i="1"/>
  <c r="E6" i="1"/>
  <c r="E15" i="1"/>
  <c r="E20" i="1"/>
  <c r="E9" i="1"/>
  <c r="E8" i="1"/>
  <c r="E17" i="1"/>
  <c r="E19" i="1"/>
  <c r="E14" i="1"/>
  <c r="G8" i="1" l="1"/>
  <c r="F7" i="1"/>
  <c r="F10" i="1"/>
  <c r="F21" i="1"/>
  <c r="F4" i="1"/>
  <c r="F5" i="1"/>
  <c r="F14" i="1"/>
  <c r="F16" i="1"/>
  <c r="F18" i="1"/>
  <c r="G19" i="1"/>
  <c r="F20" i="1"/>
  <c r="G3" i="1"/>
  <c r="G12" i="1"/>
  <c r="F3" i="1"/>
  <c r="G13" i="1"/>
  <c r="G11" i="1"/>
  <c r="G22" i="1"/>
  <c r="G20" i="1"/>
  <c r="F19" i="1"/>
  <c r="G7" i="1"/>
  <c r="G6" i="1"/>
  <c r="G18" i="1"/>
  <c r="G15" i="1"/>
  <c r="G17" i="1"/>
  <c r="G4" i="1"/>
  <c r="G21" i="1"/>
  <c r="G10" i="1"/>
  <c r="G14" i="1"/>
  <c r="G5" i="1"/>
  <c r="G16" i="1"/>
  <c r="F22" i="1"/>
  <c r="F17" i="1"/>
  <c r="F13" i="1"/>
  <c r="F8" i="1"/>
  <c r="F9" i="1"/>
  <c r="F12" i="1"/>
  <c r="G9" i="1"/>
  <c r="F15" i="1"/>
  <c r="F6" i="1"/>
  <c r="F11" i="1"/>
</calcChain>
</file>

<file path=xl/sharedStrings.xml><?xml version="1.0" encoding="utf-8"?>
<sst xmlns="http://schemas.openxmlformats.org/spreadsheetml/2006/main" count="125" uniqueCount="43">
  <si>
    <t>Employee Management Data</t>
  </si>
  <si>
    <t xml:space="preserve">Em.Name </t>
  </si>
  <si>
    <t>Department</t>
  </si>
  <si>
    <t>Daily Wage</t>
  </si>
  <si>
    <t>Working Days</t>
  </si>
  <si>
    <t xml:space="preserve">Monthly Salary </t>
  </si>
  <si>
    <t>Priya</t>
  </si>
  <si>
    <t>Riya</t>
  </si>
  <si>
    <t>Ravi</t>
  </si>
  <si>
    <t>Sita</t>
  </si>
  <si>
    <t>Rita</t>
  </si>
  <si>
    <t>Geeta</t>
  </si>
  <si>
    <t>Raj</t>
  </si>
  <si>
    <t>Aman</t>
  </si>
  <si>
    <t>Saman</t>
  </si>
  <si>
    <t>Rohan</t>
  </si>
  <si>
    <t>Sohan</t>
  </si>
  <si>
    <t>Mohan</t>
  </si>
  <si>
    <t>Pooja</t>
  </si>
  <si>
    <t>Seema</t>
  </si>
  <si>
    <t>Sinu</t>
  </si>
  <si>
    <t>Rinu</t>
  </si>
  <si>
    <t>Minu</t>
  </si>
  <si>
    <t>Hinu</t>
  </si>
  <si>
    <t>Pihu</t>
  </si>
  <si>
    <t>Dika</t>
  </si>
  <si>
    <t>HR</t>
  </si>
  <si>
    <t>Sales</t>
  </si>
  <si>
    <t>IMM</t>
  </si>
  <si>
    <t>IT</t>
  </si>
  <si>
    <t>Bonus Eligible</t>
  </si>
  <si>
    <t>Average Monthly Salary</t>
  </si>
  <si>
    <t>Attendance</t>
  </si>
  <si>
    <t>Row Labels</t>
  </si>
  <si>
    <t>Grand Total</t>
  </si>
  <si>
    <t xml:space="preserve">Sum of Monthly Salary </t>
  </si>
  <si>
    <t>Sum of Daily Wage</t>
  </si>
  <si>
    <t>Eligible Bonus</t>
  </si>
  <si>
    <t>Sum of Average Monthly Salary</t>
  </si>
  <si>
    <t>Sum of Working Days</t>
  </si>
  <si>
    <t>(blank)</t>
  </si>
  <si>
    <t>2-D Column</t>
  </si>
  <si>
    <t>2-D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</si>
</sst>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Average Monthly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Sheet1!$A$3:$F$22</c:f>
              <c:multiLvlStrCache>
                <c:ptCount val="12"/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</c:lvl>
                <c:lvl>
                  <c:pt idx="0">
                    <c:v>104000</c:v>
                  </c:pt>
                  <c:pt idx="1">
                    <c:v>78000</c:v>
                  </c:pt>
                  <c:pt idx="2">
                    <c:v>75000</c:v>
                  </c:pt>
                  <c:pt idx="3">
                    <c:v>72600</c:v>
                  </c:pt>
                  <c:pt idx="4">
                    <c:v>72500</c:v>
                  </c:pt>
                  <c:pt idx="5">
                    <c:v>67600</c:v>
                  </c:pt>
                  <c:pt idx="6">
                    <c:v>67200</c:v>
                  </c:pt>
                  <c:pt idx="7">
                    <c:v>65000</c:v>
                  </c:pt>
                  <c:pt idx="8">
                    <c:v>64800</c:v>
                  </c:pt>
                  <c:pt idx="9">
                    <c:v>55680</c:v>
                  </c:pt>
                  <c:pt idx="10">
                    <c:v>52500</c:v>
                  </c:pt>
                  <c:pt idx="11">
                    <c:v>50000</c:v>
                  </c:pt>
                </c:lvl>
                <c:lvl>
                  <c:pt idx="0">
                    <c:v>20</c:v>
                  </c:pt>
                  <c:pt idx="1">
                    <c:v>26</c:v>
                  </c:pt>
                  <c:pt idx="2">
                    <c:v>25</c:v>
                  </c:pt>
                  <c:pt idx="3">
                    <c:v>22</c:v>
                  </c:pt>
                  <c:pt idx="4">
                    <c:v>25</c:v>
                  </c:pt>
                  <c:pt idx="5">
                    <c:v>26</c:v>
                  </c:pt>
                  <c:pt idx="6">
                    <c:v>24</c:v>
                  </c:pt>
                  <c:pt idx="7">
                    <c:v>26</c:v>
                  </c:pt>
                  <c:pt idx="8">
                    <c:v>24</c:v>
                  </c:pt>
                  <c:pt idx="9">
                    <c:v>24</c:v>
                  </c:pt>
                  <c:pt idx="10">
                    <c:v>21</c:v>
                  </c:pt>
                  <c:pt idx="11">
                    <c:v>25</c:v>
                  </c:pt>
                </c:lvl>
                <c:lvl>
                  <c:pt idx="0">
                    <c:v>5200</c:v>
                  </c:pt>
                  <c:pt idx="1">
                    <c:v>3000</c:v>
                  </c:pt>
                  <c:pt idx="2">
                    <c:v>3000</c:v>
                  </c:pt>
                  <c:pt idx="3">
                    <c:v>3300</c:v>
                  </c:pt>
                  <c:pt idx="4">
                    <c:v>2900</c:v>
                  </c:pt>
                  <c:pt idx="5">
                    <c:v>2600</c:v>
                  </c:pt>
                  <c:pt idx="6">
                    <c:v>2800</c:v>
                  </c:pt>
                  <c:pt idx="7">
                    <c:v>2500</c:v>
                  </c:pt>
                  <c:pt idx="8">
                    <c:v>2700</c:v>
                  </c:pt>
                  <c:pt idx="9">
                    <c:v>2320</c:v>
                  </c:pt>
                  <c:pt idx="10">
                    <c:v>2500</c:v>
                  </c:pt>
                  <c:pt idx="11">
                    <c:v>2000</c:v>
                  </c:pt>
                </c:lvl>
                <c:lvl>
                  <c:pt idx="0">
                    <c:v>HR</c:v>
                  </c:pt>
                  <c:pt idx="1">
                    <c:v>Sales</c:v>
                  </c:pt>
                  <c:pt idx="2">
                    <c:v>IMM</c:v>
                  </c:pt>
                  <c:pt idx="3">
                    <c:v>IMM</c:v>
                  </c:pt>
                  <c:pt idx="4">
                    <c:v>Sales</c:v>
                  </c:pt>
                  <c:pt idx="5">
                    <c:v>IT</c:v>
                  </c:pt>
                  <c:pt idx="6">
                    <c:v>IT</c:v>
                  </c:pt>
                  <c:pt idx="7">
                    <c:v>HR</c:v>
                  </c:pt>
                  <c:pt idx="8">
                    <c:v>HR</c:v>
                  </c:pt>
                  <c:pt idx="9">
                    <c:v>HR</c:v>
                  </c:pt>
                  <c:pt idx="10">
                    <c:v>HR</c:v>
                  </c:pt>
                  <c:pt idx="11">
                    <c:v>HR</c:v>
                  </c:pt>
                </c:lvl>
                <c:lvl>
                  <c:pt idx="0">
                    <c:v>Raj</c:v>
                  </c:pt>
                  <c:pt idx="1">
                    <c:v>Rita</c:v>
                  </c:pt>
                  <c:pt idx="2">
                    <c:v>Sohan</c:v>
                  </c:pt>
                  <c:pt idx="3">
                    <c:v>Pooja</c:v>
                  </c:pt>
                  <c:pt idx="4">
                    <c:v>Sita</c:v>
                  </c:pt>
                  <c:pt idx="5">
                    <c:v>Minu</c:v>
                  </c:pt>
                  <c:pt idx="6">
                    <c:v>Rinu</c:v>
                  </c:pt>
                  <c:pt idx="7">
                    <c:v>Riya</c:v>
                  </c:pt>
                  <c:pt idx="8">
                    <c:v>Ravi</c:v>
                  </c:pt>
                  <c:pt idx="9">
                    <c:v>Geeta</c:v>
                  </c:pt>
                  <c:pt idx="10">
                    <c:v>Aman</c:v>
                  </c:pt>
                  <c:pt idx="11">
                    <c:v>Priya</c:v>
                  </c:pt>
                </c:lvl>
              </c:multiLvlStrCache>
            </c:multiLvlStrRef>
          </c:cat>
          <c:val>
            <c:numRef>
              <c:f>Sheet1!$G$3:$G$22</c:f>
              <c:numCache>
                <c:formatCode>General</c:formatCode>
                <c:ptCount val="12"/>
                <c:pt idx="0">
                  <c:v>57943.333333333336</c:v>
                </c:pt>
                <c:pt idx="1">
                  <c:v>36350</c:v>
                </c:pt>
                <c:pt idx="2">
                  <c:v>36350</c:v>
                </c:pt>
                <c:pt idx="3">
                  <c:v>36350</c:v>
                </c:pt>
                <c:pt idx="4">
                  <c:v>36350</c:v>
                </c:pt>
                <c:pt idx="5">
                  <c:v>36350</c:v>
                </c:pt>
                <c:pt idx="6">
                  <c:v>36350</c:v>
                </c:pt>
                <c:pt idx="7">
                  <c:v>36350</c:v>
                </c:pt>
                <c:pt idx="8">
                  <c:v>36350</c:v>
                </c:pt>
                <c:pt idx="9">
                  <c:v>36350</c:v>
                </c:pt>
                <c:pt idx="10">
                  <c:v>36350</c:v>
                </c:pt>
                <c:pt idx="11">
                  <c:v>36350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3-495A-B8FD-3E865B8756F9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Attendance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Sheet1!$A$3:$F$22</c:f>
              <c:multiLvlStrCache>
                <c:ptCount val="12"/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</c:lvl>
                <c:lvl>
                  <c:pt idx="0">
                    <c:v>104000</c:v>
                  </c:pt>
                  <c:pt idx="1">
                    <c:v>78000</c:v>
                  </c:pt>
                  <c:pt idx="2">
                    <c:v>75000</c:v>
                  </c:pt>
                  <c:pt idx="3">
                    <c:v>72600</c:v>
                  </c:pt>
                  <c:pt idx="4">
                    <c:v>72500</c:v>
                  </c:pt>
                  <c:pt idx="5">
                    <c:v>67600</c:v>
                  </c:pt>
                  <c:pt idx="6">
                    <c:v>67200</c:v>
                  </c:pt>
                  <c:pt idx="7">
                    <c:v>65000</c:v>
                  </c:pt>
                  <c:pt idx="8">
                    <c:v>64800</c:v>
                  </c:pt>
                  <c:pt idx="9">
                    <c:v>55680</c:v>
                  </c:pt>
                  <c:pt idx="10">
                    <c:v>52500</c:v>
                  </c:pt>
                  <c:pt idx="11">
                    <c:v>50000</c:v>
                  </c:pt>
                </c:lvl>
                <c:lvl>
                  <c:pt idx="0">
                    <c:v>20</c:v>
                  </c:pt>
                  <c:pt idx="1">
                    <c:v>26</c:v>
                  </c:pt>
                  <c:pt idx="2">
                    <c:v>25</c:v>
                  </c:pt>
                  <c:pt idx="3">
                    <c:v>22</c:v>
                  </c:pt>
                  <c:pt idx="4">
                    <c:v>25</c:v>
                  </c:pt>
                  <c:pt idx="5">
                    <c:v>26</c:v>
                  </c:pt>
                  <c:pt idx="6">
                    <c:v>24</c:v>
                  </c:pt>
                  <c:pt idx="7">
                    <c:v>26</c:v>
                  </c:pt>
                  <c:pt idx="8">
                    <c:v>24</c:v>
                  </c:pt>
                  <c:pt idx="9">
                    <c:v>24</c:v>
                  </c:pt>
                  <c:pt idx="10">
                    <c:v>21</c:v>
                  </c:pt>
                  <c:pt idx="11">
                    <c:v>25</c:v>
                  </c:pt>
                </c:lvl>
                <c:lvl>
                  <c:pt idx="0">
                    <c:v>5200</c:v>
                  </c:pt>
                  <c:pt idx="1">
                    <c:v>3000</c:v>
                  </c:pt>
                  <c:pt idx="2">
                    <c:v>3000</c:v>
                  </c:pt>
                  <c:pt idx="3">
                    <c:v>3300</c:v>
                  </c:pt>
                  <c:pt idx="4">
                    <c:v>2900</c:v>
                  </c:pt>
                  <c:pt idx="5">
                    <c:v>2600</c:v>
                  </c:pt>
                  <c:pt idx="6">
                    <c:v>2800</c:v>
                  </c:pt>
                  <c:pt idx="7">
                    <c:v>2500</c:v>
                  </c:pt>
                  <c:pt idx="8">
                    <c:v>2700</c:v>
                  </c:pt>
                  <c:pt idx="9">
                    <c:v>2320</c:v>
                  </c:pt>
                  <c:pt idx="10">
                    <c:v>2500</c:v>
                  </c:pt>
                  <c:pt idx="11">
                    <c:v>2000</c:v>
                  </c:pt>
                </c:lvl>
                <c:lvl>
                  <c:pt idx="0">
                    <c:v>HR</c:v>
                  </c:pt>
                  <c:pt idx="1">
                    <c:v>Sales</c:v>
                  </c:pt>
                  <c:pt idx="2">
                    <c:v>IMM</c:v>
                  </c:pt>
                  <c:pt idx="3">
                    <c:v>IMM</c:v>
                  </c:pt>
                  <c:pt idx="4">
                    <c:v>Sales</c:v>
                  </c:pt>
                  <c:pt idx="5">
                    <c:v>IT</c:v>
                  </c:pt>
                  <c:pt idx="6">
                    <c:v>IT</c:v>
                  </c:pt>
                  <c:pt idx="7">
                    <c:v>HR</c:v>
                  </c:pt>
                  <c:pt idx="8">
                    <c:v>HR</c:v>
                  </c:pt>
                  <c:pt idx="9">
                    <c:v>HR</c:v>
                  </c:pt>
                  <c:pt idx="10">
                    <c:v>HR</c:v>
                  </c:pt>
                  <c:pt idx="11">
                    <c:v>HR</c:v>
                  </c:pt>
                </c:lvl>
                <c:lvl>
                  <c:pt idx="0">
                    <c:v>Raj</c:v>
                  </c:pt>
                  <c:pt idx="1">
                    <c:v>Rita</c:v>
                  </c:pt>
                  <c:pt idx="2">
                    <c:v>Sohan</c:v>
                  </c:pt>
                  <c:pt idx="3">
                    <c:v>Pooja</c:v>
                  </c:pt>
                  <c:pt idx="4">
                    <c:v>Sita</c:v>
                  </c:pt>
                  <c:pt idx="5">
                    <c:v>Minu</c:v>
                  </c:pt>
                  <c:pt idx="6">
                    <c:v>Rinu</c:v>
                  </c:pt>
                  <c:pt idx="7">
                    <c:v>Riya</c:v>
                  </c:pt>
                  <c:pt idx="8">
                    <c:v>Ravi</c:v>
                  </c:pt>
                  <c:pt idx="9">
                    <c:v>Geeta</c:v>
                  </c:pt>
                  <c:pt idx="10">
                    <c:v>Aman</c:v>
                  </c:pt>
                  <c:pt idx="11">
                    <c:v>Priya</c:v>
                  </c:pt>
                </c:lvl>
              </c:multiLvlStrCache>
            </c:multiLvlStrRef>
          </c:cat>
          <c:val>
            <c:numRef>
              <c:f>Sheet1!$H$3:$H$22</c:f>
              <c:numCache>
                <c:formatCode>General</c:formatCode>
                <c:ptCount val="12"/>
                <c:pt idx="0">
                  <c:v>28</c:v>
                </c:pt>
                <c:pt idx="1">
                  <c:v>15</c:v>
                </c:pt>
                <c:pt idx="2">
                  <c:v>23</c:v>
                </c:pt>
                <c:pt idx="3">
                  <c:v>24</c:v>
                </c:pt>
                <c:pt idx="4">
                  <c:v>19</c:v>
                </c:pt>
                <c:pt idx="5">
                  <c:v>25</c:v>
                </c:pt>
                <c:pt idx="6">
                  <c:v>19</c:v>
                </c:pt>
                <c:pt idx="7">
                  <c:v>21</c:v>
                </c:pt>
                <c:pt idx="8">
                  <c:v>10</c:v>
                </c:pt>
                <c:pt idx="9">
                  <c:v>16</c:v>
                </c:pt>
                <c:pt idx="10">
                  <c:v>24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3-495A-B8FD-3E865B875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388448"/>
        <c:axId val="590440688"/>
      </c:barChart>
      <c:catAx>
        <c:axId val="73638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40688"/>
        <c:crosses val="autoZero"/>
        <c:auto val="1"/>
        <c:lblAlgn val="ctr"/>
        <c:lblOffset val="100"/>
        <c:noMultiLvlLbl val="0"/>
      </c:catAx>
      <c:valAx>
        <c:axId val="5904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8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[prac.xlsx]Sheet1!PivotTable9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Sum of Daily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Sheet1!$A$27:$A$63</c:f>
              <c:multiLvlStrCache>
                <c:ptCount val="12"/>
                <c:lvl>
                  <c:pt idx="0">
                    <c:v>HR</c:v>
                  </c:pt>
                  <c:pt idx="1">
                    <c:v>HR</c:v>
                  </c:pt>
                  <c:pt idx="2">
                    <c:v>IT</c:v>
                  </c:pt>
                  <c:pt idx="3">
                    <c:v>IMM</c:v>
                  </c:pt>
                  <c:pt idx="4">
                    <c:v>HR</c:v>
                  </c:pt>
                  <c:pt idx="5">
                    <c:v>HR</c:v>
                  </c:pt>
                  <c:pt idx="6">
                    <c:v>HR</c:v>
                  </c:pt>
                  <c:pt idx="7">
                    <c:v>IT</c:v>
                  </c:pt>
                  <c:pt idx="8">
                    <c:v>Sales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IMM</c:v>
                  </c:pt>
                </c:lvl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</c:lvl>
                <c:lvl>
                  <c:pt idx="0">
                    <c:v>Aman</c:v>
                  </c:pt>
                  <c:pt idx="1">
                    <c:v>Geeta</c:v>
                  </c:pt>
                  <c:pt idx="2">
                    <c:v>Minu</c:v>
                  </c:pt>
                  <c:pt idx="3">
                    <c:v>Pooja</c:v>
                  </c:pt>
                  <c:pt idx="4">
                    <c:v>Priya</c:v>
                  </c:pt>
                  <c:pt idx="5">
                    <c:v>Raj</c:v>
                  </c:pt>
                  <c:pt idx="6">
                    <c:v>Ravi</c:v>
                  </c:pt>
                  <c:pt idx="7">
                    <c:v>Rinu</c:v>
                  </c:pt>
                  <c:pt idx="8">
                    <c:v>Rita</c:v>
                  </c:pt>
                  <c:pt idx="9">
                    <c:v>Riya</c:v>
                  </c:pt>
                  <c:pt idx="10">
                    <c:v>Sita</c:v>
                  </c:pt>
                  <c:pt idx="11">
                    <c:v>Sohan</c:v>
                  </c:pt>
                </c:lvl>
              </c:multiLvlStrCache>
            </c:multiLvlStrRef>
          </c:cat>
          <c:val>
            <c:numRef>
              <c:f>Sheet1!$B$27:$B$63</c:f>
              <c:numCache>
                <c:formatCode>General</c:formatCode>
                <c:ptCount val="12"/>
                <c:pt idx="0">
                  <c:v>2500</c:v>
                </c:pt>
                <c:pt idx="1">
                  <c:v>2320</c:v>
                </c:pt>
                <c:pt idx="2">
                  <c:v>2600</c:v>
                </c:pt>
                <c:pt idx="3">
                  <c:v>3300</c:v>
                </c:pt>
                <c:pt idx="4">
                  <c:v>2000</c:v>
                </c:pt>
                <c:pt idx="5">
                  <c:v>5200</c:v>
                </c:pt>
                <c:pt idx="6">
                  <c:v>2700</c:v>
                </c:pt>
                <c:pt idx="7">
                  <c:v>2800</c:v>
                </c:pt>
                <c:pt idx="8">
                  <c:v>3000</c:v>
                </c:pt>
                <c:pt idx="9">
                  <c:v>2500</c:v>
                </c:pt>
                <c:pt idx="10">
                  <c:v>2900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D7-43C8-BA44-42C4D4FE4DD6}"/>
            </c:ext>
          </c:extLst>
        </c:ser>
        <c:ser>
          <c:idx val="1"/>
          <c:order val="1"/>
          <c:tx>
            <c:strRef>
              <c:f>Sheet1!$C$26</c:f>
              <c:strCache>
                <c:ptCount val="1"/>
                <c:pt idx="0">
                  <c:v>Sum of Monthly Salary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Sheet1!$A$27:$A$63</c:f>
              <c:multiLvlStrCache>
                <c:ptCount val="12"/>
                <c:lvl>
                  <c:pt idx="0">
                    <c:v>HR</c:v>
                  </c:pt>
                  <c:pt idx="1">
                    <c:v>HR</c:v>
                  </c:pt>
                  <c:pt idx="2">
                    <c:v>IT</c:v>
                  </c:pt>
                  <c:pt idx="3">
                    <c:v>IMM</c:v>
                  </c:pt>
                  <c:pt idx="4">
                    <c:v>HR</c:v>
                  </c:pt>
                  <c:pt idx="5">
                    <c:v>HR</c:v>
                  </c:pt>
                  <c:pt idx="6">
                    <c:v>HR</c:v>
                  </c:pt>
                  <c:pt idx="7">
                    <c:v>IT</c:v>
                  </c:pt>
                  <c:pt idx="8">
                    <c:v>Sales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IMM</c:v>
                  </c:pt>
                </c:lvl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</c:lvl>
                <c:lvl>
                  <c:pt idx="0">
                    <c:v>Aman</c:v>
                  </c:pt>
                  <c:pt idx="1">
                    <c:v>Geeta</c:v>
                  </c:pt>
                  <c:pt idx="2">
                    <c:v>Minu</c:v>
                  </c:pt>
                  <c:pt idx="3">
                    <c:v>Pooja</c:v>
                  </c:pt>
                  <c:pt idx="4">
                    <c:v>Priya</c:v>
                  </c:pt>
                  <c:pt idx="5">
                    <c:v>Raj</c:v>
                  </c:pt>
                  <c:pt idx="6">
                    <c:v>Ravi</c:v>
                  </c:pt>
                  <c:pt idx="7">
                    <c:v>Rinu</c:v>
                  </c:pt>
                  <c:pt idx="8">
                    <c:v>Rita</c:v>
                  </c:pt>
                  <c:pt idx="9">
                    <c:v>Riya</c:v>
                  </c:pt>
                  <c:pt idx="10">
                    <c:v>Sita</c:v>
                  </c:pt>
                  <c:pt idx="11">
                    <c:v>Sohan</c:v>
                  </c:pt>
                </c:lvl>
              </c:multiLvlStrCache>
            </c:multiLvlStrRef>
          </c:cat>
          <c:val>
            <c:numRef>
              <c:f>Sheet1!$C$27:$C$63</c:f>
              <c:numCache>
                <c:formatCode>General</c:formatCode>
                <c:ptCount val="12"/>
                <c:pt idx="0">
                  <c:v>52500</c:v>
                </c:pt>
                <c:pt idx="1">
                  <c:v>55680</c:v>
                </c:pt>
                <c:pt idx="2">
                  <c:v>67600</c:v>
                </c:pt>
                <c:pt idx="3">
                  <c:v>72600</c:v>
                </c:pt>
                <c:pt idx="4">
                  <c:v>50000</c:v>
                </c:pt>
                <c:pt idx="5">
                  <c:v>104000</c:v>
                </c:pt>
                <c:pt idx="6">
                  <c:v>64800</c:v>
                </c:pt>
                <c:pt idx="7">
                  <c:v>67200</c:v>
                </c:pt>
                <c:pt idx="8">
                  <c:v>78000</c:v>
                </c:pt>
                <c:pt idx="9">
                  <c:v>65000</c:v>
                </c:pt>
                <c:pt idx="10">
                  <c:v>72500</c:v>
                </c:pt>
                <c:pt idx="11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D7-43C8-BA44-42C4D4FE4DD6}"/>
            </c:ext>
          </c:extLst>
        </c:ser>
        <c:ser>
          <c:idx val="2"/>
          <c:order val="2"/>
          <c:tx>
            <c:strRef>
              <c:f>Sheet1!$D$26</c:f>
              <c:strCache>
                <c:ptCount val="1"/>
                <c:pt idx="0">
                  <c:v>Sum of Average Monthly 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Sheet1!$A$27:$A$63</c:f>
              <c:multiLvlStrCache>
                <c:ptCount val="12"/>
                <c:lvl>
                  <c:pt idx="0">
                    <c:v>HR</c:v>
                  </c:pt>
                  <c:pt idx="1">
                    <c:v>HR</c:v>
                  </c:pt>
                  <c:pt idx="2">
                    <c:v>IT</c:v>
                  </c:pt>
                  <c:pt idx="3">
                    <c:v>IMM</c:v>
                  </c:pt>
                  <c:pt idx="4">
                    <c:v>HR</c:v>
                  </c:pt>
                  <c:pt idx="5">
                    <c:v>HR</c:v>
                  </c:pt>
                  <c:pt idx="6">
                    <c:v>HR</c:v>
                  </c:pt>
                  <c:pt idx="7">
                    <c:v>IT</c:v>
                  </c:pt>
                  <c:pt idx="8">
                    <c:v>Sales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IMM</c:v>
                  </c:pt>
                </c:lvl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</c:lvl>
                <c:lvl>
                  <c:pt idx="0">
                    <c:v>Aman</c:v>
                  </c:pt>
                  <c:pt idx="1">
                    <c:v>Geeta</c:v>
                  </c:pt>
                  <c:pt idx="2">
                    <c:v>Minu</c:v>
                  </c:pt>
                  <c:pt idx="3">
                    <c:v>Pooja</c:v>
                  </c:pt>
                  <c:pt idx="4">
                    <c:v>Priya</c:v>
                  </c:pt>
                  <c:pt idx="5">
                    <c:v>Raj</c:v>
                  </c:pt>
                  <c:pt idx="6">
                    <c:v>Ravi</c:v>
                  </c:pt>
                  <c:pt idx="7">
                    <c:v>Rinu</c:v>
                  </c:pt>
                  <c:pt idx="8">
                    <c:v>Rita</c:v>
                  </c:pt>
                  <c:pt idx="9">
                    <c:v>Riya</c:v>
                  </c:pt>
                  <c:pt idx="10">
                    <c:v>Sita</c:v>
                  </c:pt>
                  <c:pt idx="11">
                    <c:v>Sohan</c:v>
                  </c:pt>
                </c:lvl>
              </c:multiLvlStrCache>
            </c:multiLvlStrRef>
          </c:cat>
          <c:val>
            <c:numRef>
              <c:f>Sheet1!$D$27:$D$63</c:f>
              <c:numCache>
                <c:formatCode>General</c:formatCode>
                <c:ptCount val="12"/>
                <c:pt idx="0">
                  <c:v>36350</c:v>
                </c:pt>
                <c:pt idx="1">
                  <c:v>36350</c:v>
                </c:pt>
                <c:pt idx="2">
                  <c:v>36350</c:v>
                </c:pt>
                <c:pt idx="3">
                  <c:v>36350</c:v>
                </c:pt>
                <c:pt idx="4">
                  <c:v>36350</c:v>
                </c:pt>
                <c:pt idx="5">
                  <c:v>57943.333333333336</c:v>
                </c:pt>
                <c:pt idx="6">
                  <c:v>36350</c:v>
                </c:pt>
                <c:pt idx="7">
                  <c:v>36350</c:v>
                </c:pt>
                <c:pt idx="8">
                  <c:v>36350</c:v>
                </c:pt>
                <c:pt idx="9">
                  <c:v>36350</c:v>
                </c:pt>
                <c:pt idx="10">
                  <c:v>36350</c:v>
                </c:pt>
                <c:pt idx="11">
                  <c:v>36350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D7-43C8-BA44-42C4D4FE4DD6}"/>
            </c:ext>
          </c:extLst>
        </c:ser>
        <c:ser>
          <c:idx val="3"/>
          <c:order val="3"/>
          <c:tx>
            <c:strRef>
              <c:f>Sheet1!$E$26</c:f>
              <c:strCache>
                <c:ptCount val="1"/>
                <c:pt idx="0">
                  <c:v>Sum of Working Days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Sheet1!$A$27:$A$63</c:f>
              <c:multiLvlStrCache>
                <c:ptCount val="12"/>
                <c:lvl>
                  <c:pt idx="0">
                    <c:v>HR</c:v>
                  </c:pt>
                  <c:pt idx="1">
                    <c:v>HR</c:v>
                  </c:pt>
                  <c:pt idx="2">
                    <c:v>IT</c:v>
                  </c:pt>
                  <c:pt idx="3">
                    <c:v>IMM</c:v>
                  </c:pt>
                  <c:pt idx="4">
                    <c:v>HR</c:v>
                  </c:pt>
                  <c:pt idx="5">
                    <c:v>HR</c:v>
                  </c:pt>
                  <c:pt idx="6">
                    <c:v>HR</c:v>
                  </c:pt>
                  <c:pt idx="7">
                    <c:v>IT</c:v>
                  </c:pt>
                  <c:pt idx="8">
                    <c:v>Sales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IMM</c:v>
                  </c:pt>
                </c:lvl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</c:lvl>
                <c:lvl>
                  <c:pt idx="0">
                    <c:v>Aman</c:v>
                  </c:pt>
                  <c:pt idx="1">
                    <c:v>Geeta</c:v>
                  </c:pt>
                  <c:pt idx="2">
                    <c:v>Minu</c:v>
                  </c:pt>
                  <c:pt idx="3">
                    <c:v>Pooja</c:v>
                  </c:pt>
                  <c:pt idx="4">
                    <c:v>Priya</c:v>
                  </c:pt>
                  <c:pt idx="5">
                    <c:v>Raj</c:v>
                  </c:pt>
                  <c:pt idx="6">
                    <c:v>Ravi</c:v>
                  </c:pt>
                  <c:pt idx="7">
                    <c:v>Rinu</c:v>
                  </c:pt>
                  <c:pt idx="8">
                    <c:v>Rita</c:v>
                  </c:pt>
                  <c:pt idx="9">
                    <c:v>Riya</c:v>
                  </c:pt>
                  <c:pt idx="10">
                    <c:v>Sita</c:v>
                  </c:pt>
                  <c:pt idx="11">
                    <c:v>Sohan</c:v>
                  </c:pt>
                </c:lvl>
              </c:multiLvlStrCache>
            </c:multiLvlStrRef>
          </c:cat>
          <c:val>
            <c:numRef>
              <c:f>Sheet1!$E$27:$E$63</c:f>
              <c:numCache>
                <c:formatCode>General</c:formatCode>
                <c:ptCount val="12"/>
                <c:pt idx="0">
                  <c:v>21</c:v>
                </c:pt>
                <c:pt idx="1">
                  <c:v>24</c:v>
                </c:pt>
                <c:pt idx="2">
                  <c:v>26</c:v>
                </c:pt>
                <c:pt idx="3">
                  <c:v>22</c:v>
                </c:pt>
                <c:pt idx="4">
                  <c:v>25</c:v>
                </c:pt>
                <c:pt idx="5">
                  <c:v>20</c:v>
                </c:pt>
                <c:pt idx="6">
                  <c:v>24</c:v>
                </c:pt>
                <c:pt idx="7">
                  <c:v>24</c:v>
                </c:pt>
                <c:pt idx="8">
                  <c:v>26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D7-43C8-BA44-42C4D4FE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771184"/>
        <c:axId val="590384048"/>
      </c:barChart>
      <c:catAx>
        <c:axId val="723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84048"/>
        <c:crosses val="autoZero"/>
        <c:auto val="1"/>
        <c:lblAlgn val="ctr"/>
        <c:lblOffset val="100"/>
        <c:noMultiLvlLbl val="0"/>
      </c:catAx>
      <c:valAx>
        <c:axId val="5903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Average Monthly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Sheet1!$A$3:$F$22</c:f>
              <c:multiLvlStrCache>
                <c:ptCount val="12"/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</c:lvl>
                <c:lvl>
                  <c:pt idx="0">
                    <c:v>104000</c:v>
                  </c:pt>
                  <c:pt idx="1">
                    <c:v>78000</c:v>
                  </c:pt>
                  <c:pt idx="2">
                    <c:v>75000</c:v>
                  </c:pt>
                  <c:pt idx="3">
                    <c:v>72600</c:v>
                  </c:pt>
                  <c:pt idx="4">
                    <c:v>72500</c:v>
                  </c:pt>
                  <c:pt idx="5">
                    <c:v>67600</c:v>
                  </c:pt>
                  <c:pt idx="6">
                    <c:v>67200</c:v>
                  </c:pt>
                  <c:pt idx="7">
                    <c:v>65000</c:v>
                  </c:pt>
                  <c:pt idx="8">
                    <c:v>64800</c:v>
                  </c:pt>
                  <c:pt idx="9">
                    <c:v>55680</c:v>
                  </c:pt>
                  <c:pt idx="10">
                    <c:v>52500</c:v>
                  </c:pt>
                  <c:pt idx="11">
                    <c:v>50000</c:v>
                  </c:pt>
                </c:lvl>
                <c:lvl>
                  <c:pt idx="0">
                    <c:v>20</c:v>
                  </c:pt>
                  <c:pt idx="1">
                    <c:v>26</c:v>
                  </c:pt>
                  <c:pt idx="2">
                    <c:v>25</c:v>
                  </c:pt>
                  <c:pt idx="3">
                    <c:v>22</c:v>
                  </c:pt>
                  <c:pt idx="4">
                    <c:v>25</c:v>
                  </c:pt>
                  <c:pt idx="5">
                    <c:v>26</c:v>
                  </c:pt>
                  <c:pt idx="6">
                    <c:v>24</c:v>
                  </c:pt>
                  <c:pt idx="7">
                    <c:v>26</c:v>
                  </c:pt>
                  <c:pt idx="8">
                    <c:v>24</c:v>
                  </c:pt>
                  <c:pt idx="9">
                    <c:v>24</c:v>
                  </c:pt>
                  <c:pt idx="10">
                    <c:v>21</c:v>
                  </c:pt>
                  <c:pt idx="11">
                    <c:v>25</c:v>
                  </c:pt>
                </c:lvl>
                <c:lvl>
                  <c:pt idx="0">
                    <c:v>5200</c:v>
                  </c:pt>
                  <c:pt idx="1">
                    <c:v>3000</c:v>
                  </c:pt>
                  <c:pt idx="2">
                    <c:v>3000</c:v>
                  </c:pt>
                  <c:pt idx="3">
                    <c:v>3300</c:v>
                  </c:pt>
                  <c:pt idx="4">
                    <c:v>2900</c:v>
                  </c:pt>
                  <c:pt idx="5">
                    <c:v>2600</c:v>
                  </c:pt>
                  <c:pt idx="6">
                    <c:v>2800</c:v>
                  </c:pt>
                  <c:pt idx="7">
                    <c:v>2500</c:v>
                  </c:pt>
                  <c:pt idx="8">
                    <c:v>2700</c:v>
                  </c:pt>
                  <c:pt idx="9">
                    <c:v>2320</c:v>
                  </c:pt>
                  <c:pt idx="10">
                    <c:v>2500</c:v>
                  </c:pt>
                  <c:pt idx="11">
                    <c:v>2000</c:v>
                  </c:pt>
                </c:lvl>
                <c:lvl>
                  <c:pt idx="0">
                    <c:v>HR</c:v>
                  </c:pt>
                  <c:pt idx="1">
                    <c:v>Sales</c:v>
                  </c:pt>
                  <c:pt idx="2">
                    <c:v>IMM</c:v>
                  </c:pt>
                  <c:pt idx="3">
                    <c:v>IMM</c:v>
                  </c:pt>
                  <c:pt idx="4">
                    <c:v>Sales</c:v>
                  </c:pt>
                  <c:pt idx="5">
                    <c:v>IT</c:v>
                  </c:pt>
                  <c:pt idx="6">
                    <c:v>IT</c:v>
                  </c:pt>
                  <c:pt idx="7">
                    <c:v>HR</c:v>
                  </c:pt>
                  <c:pt idx="8">
                    <c:v>HR</c:v>
                  </c:pt>
                  <c:pt idx="9">
                    <c:v>HR</c:v>
                  </c:pt>
                  <c:pt idx="10">
                    <c:v>HR</c:v>
                  </c:pt>
                  <c:pt idx="11">
                    <c:v>HR</c:v>
                  </c:pt>
                </c:lvl>
                <c:lvl>
                  <c:pt idx="0">
                    <c:v>Raj</c:v>
                  </c:pt>
                  <c:pt idx="1">
                    <c:v>Rita</c:v>
                  </c:pt>
                  <c:pt idx="2">
                    <c:v>Sohan</c:v>
                  </c:pt>
                  <c:pt idx="3">
                    <c:v>Pooja</c:v>
                  </c:pt>
                  <c:pt idx="4">
                    <c:v>Sita</c:v>
                  </c:pt>
                  <c:pt idx="5">
                    <c:v>Minu</c:v>
                  </c:pt>
                  <c:pt idx="6">
                    <c:v>Rinu</c:v>
                  </c:pt>
                  <c:pt idx="7">
                    <c:v>Riya</c:v>
                  </c:pt>
                  <c:pt idx="8">
                    <c:v>Ravi</c:v>
                  </c:pt>
                  <c:pt idx="9">
                    <c:v>Geeta</c:v>
                  </c:pt>
                  <c:pt idx="10">
                    <c:v>Aman</c:v>
                  </c:pt>
                  <c:pt idx="11">
                    <c:v>Priya</c:v>
                  </c:pt>
                </c:lvl>
              </c:multiLvlStrCache>
            </c:multiLvlStrRef>
          </c:cat>
          <c:val>
            <c:numRef>
              <c:f>Sheet1!$G$3:$G$22</c:f>
              <c:numCache>
                <c:formatCode>General</c:formatCode>
                <c:ptCount val="12"/>
                <c:pt idx="0">
                  <c:v>57943.333333333336</c:v>
                </c:pt>
                <c:pt idx="1">
                  <c:v>36350</c:v>
                </c:pt>
                <c:pt idx="2">
                  <c:v>36350</c:v>
                </c:pt>
                <c:pt idx="3">
                  <c:v>36350</c:v>
                </c:pt>
                <c:pt idx="4">
                  <c:v>36350</c:v>
                </c:pt>
                <c:pt idx="5">
                  <c:v>36350</c:v>
                </c:pt>
                <c:pt idx="6">
                  <c:v>36350</c:v>
                </c:pt>
                <c:pt idx="7">
                  <c:v>36350</c:v>
                </c:pt>
                <c:pt idx="8">
                  <c:v>36350</c:v>
                </c:pt>
                <c:pt idx="9">
                  <c:v>36350</c:v>
                </c:pt>
                <c:pt idx="10">
                  <c:v>36350</c:v>
                </c:pt>
                <c:pt idx="11">
                  <c:v>36350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B-4BFD-8AFE-3EB2659B63C5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Attendance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Sheet1!$A$3:$F$22</c:f>
              <c:multiLvlStrCache>
                <c:ptCount val="12"/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</c:lvl>
                <c:lvl>
                  <c:pt idx="0">
                    <c:v>104000</c:v>
                  </c:pt>
                  <c:pt idx="1">
                    <c:v>78000</c:v>
                  </c:pt>
                  <c:pt idx="2">
                    <c:v>75000</c:v>
                  </c:pt>
                  <c:pt idx="3">
                    <c:v>72600</c:v>
                  </c:pt>
                  <c:pt idx="4">
                    <c:v>72500</c:v>
                  </c:pt>
                  <c:pt idx="5">
                    <c:v>67600</c:v>
                  </c:pt>
                  <c:pt idx="6">
                    <c:v>67200</c:v>
                  </c:pt>
                  <c:pt idx="7">
                    <c:v>65000</c:v>
                  </c:pt>
                  <c:pt idx="8">
                    <c:v>64800</c:v>
                  </c:pt>
                  <c:pt idx="9">
                    <c:v>55680</c:v>
                  </c:pt>
                  <c:pt idx="10">
                    <c:v>52500</c:v>
                  </c:pt>
                  <c:pt idx="11">
                    <c:v>50000</c:v>
                  </c:pt>
                </c:lvl>
                <c:lvl>
                  <c:pt idx="0">
                    <c:v>20</c:v>
                  </c:pt>
                  <c:pt idx="1">
                    <c:v>26</c:v>
                  </c:pt>
                  <c:pt idx="2">
                    <c:v>25</c:v>
                  </c:pt>
                  <c:pt idx="3">
                    <c:v>22</c:v>
                  </c:pt>
                  <c:pt idx="4">
                    <c:v>25</c:v>
                  </c:pt>
                  <c:pt idx="5">
                    <c:v>26</c:v>
                  </c:pt>
                  <c:pt idx="6">
                    <c:v>24</c:v>
                  </c:pt>
                  <c:pt idx="7">
                    <c:v>26</c:v>
                  </c:pt>
                  <c:pt idx="8">
                    <c:v>24</c:v>
                  </c:pt>
                  <c:pt idx="9">
                    <c:v>24</c:v>
                  </c:pt>
                  <c:pt idx="10">
                    <c:v>21</c:v>
                  </c:pt>
                  <c:pt idx="11">
                    <c:v>25</c:v>
                  </c:pt>
                </c:lvl>
                <c:lvl>
                  <c:pt idx="0">
                    <c:v>5200</c:v>
                  </c:pt>
                  <c:pt idx="1">
                    <c:v>3000</c:v>
                  </c:pt>
                  <c:pt idx="2">
                    <c:v>3000</c:v>
                  </c:pt>
                  <c:pt idx="3">
                    <c:v>3300</c:v>
                  </c:pt>
                  <c:pt idx="4">
                    <c:v>2900</c:v>
                  </c:pt>
                  <c:pt idx="5">
                    <c:v>2600</c:v>
                  </c:pt>
                  <c:pt idx="6">
                    <c:v>2800</c:v>
                  </c:pt>
                  <c:pt idx="7">
                    <c:v>2500</c:v>
                  </c:pt>
                  <c:pt idx="8">
                    <c:v>2700</c:v>
                  </c:pt>
                  <c:pt idx="9">
                    <c:v>2320</c:v>
                  </c:pt>
                  <c:pt idx="10">
                    <c:v>2500</c:v>
                  </c:pt>
                  <c:pt idx="11">
                    <c:v>2000</c:v>
                  </c:pt>
                </c:lvl>
                <c:lvl>
                  <c:pt idx="0">
                    <c:v>HR</c:v>
                  </c:pt>
                  <c:pt idx="1">
                    <c:v>Sales</c:v>
                  </c:pt>
                  <c:pt idx="2">
                    <c:v>IMM</c:v>
                  </c:pt>
                  <c:pt idx="3">
                    <c:v>IMM</c:v>
                  </c:pt>
                  <c:pt idx="4">
                    <c:v>Sales</c:v>
                  </c:pt>
                  <c:pt idx="5">
                    <c:v>IT</c:v>
                  </c:pt>
                  <c:pt idx="6">
                    <c:v>IT</c:v>
                  </c:pt>
                  <c:pt idx="7">
                    <c:v>HR</c:v>
                  </c:pt>
                  <c:pt idx="8">
                    <c:v>HR</c:v>
                  </c:pt>
                  <c:pt idx="9">
                    <c:v>HR</c:v>
                  </c:pt>
                  <c:pt idx="10">
                    <c:v>HR</c:v>
                  </c:pt>
                  <c:pt idx="11">
                    <c:v>HR</c:v>
                  </c:pt>
                </c:lvl>
                <c:lvl>
                  <c:pt idx="0">
                    <c:v>Raj</c:v>
                  </c:pt>
                  <c:pt idx="1">
                    <c:v>Rita</c:v>
                  </c:pt>
                  <c:pt idx="2">
                    <c:v>Sohan</c:v>
                  </c:pt>
                  <c:pt idx="3">
                    <c:v>Pooja</c:v>
                  </c:pt>
                  <c:pt idx="4">
                    <c:v>Sita</c:v>
                  </c:pt>
                  <c:pt idx="5">
                    <c:v>Minu</c:v>
                  </c:pt>
                  <c:pt idx="6">
                    <c:v>Rinu</c:v>
                  </c:pt>
                  <c:pt idx="7">
                    <c:v>Riya</c:v>
                  </c:pt>
                  <c:pt idx="8">
                    <c:v>Ravi</c:v>
                  </c:pt>
                  <c:pt idx="9">
                    <c:v>Geeta</c:v>
                  </c:pt>
                  <c:pt idx="10">
                    <c:v>Aman</c:v>
                  </c:pt>
                  <c:pt idx="11">
                    <c:v>Priya</c:v>
                  </c:pt>
                </c:lvl>
              </c:multiLvlStrCache>
            </c:multiLvlStrRef>
          </c:cat>
          <c:val>
            <c:numRef>
              <c:f>Sheet1!$H$3:$H$22</c:f>
              <c:numCache>
                <c:formatCode>General</c:formatCode>
                <c:ptCount val="12"/>
                <c:pt idx="0">
                  <c:v>28</c:v>
                </c:pt>
                <c:pt idx="1">
                  <c:v>15</c:v>
                </c:pt>
                <c:pt idx="2">
                  <c:v>23</c:v>
                </c:pt>
                <c:pt idx="3">
                  <c:v>24</c:v>
                </c:pt>
                <c:pt idx="4">
                  <c:v>19</c:v>
                </c:pt>
                <c:pt idx="5">
                  <c:v>25</c:v>
                </c:pt>
                <c:pt idx="6">
                  <c:v>19</c:v>
                </c:pt>
                <c:pt idx="7">
                  <c:v>21</c:v>
                </c:pt>
                <c:pt idx="8">
                  <c:v>10</c:v>
                </c:pt>
                <c:pt idx="9">
                  <c:v>16</c:v>
                </c:pt>
                <c:pt idx="10">
                  <c:v>24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B-4BFD-8AFE-3EB2659B6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25528288"/>
        <c:axId val="590453168"/>
      </c:barChart>
      <c:catAx>
        <c:axId val="82552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53168"/>
        <c:crosses val="autoZero"/>
        <c:auto val="1"/>
        <c:lblAlgn val="ctr"/>
        <c:lblOffset val="100"/>
        <c:noMultiLvlLbl val="0"/>
      </c:catAx>
      <c:valAx>
        <c:axId val="59045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2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[prac.xlsx]Sheet1!PivotTable11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67959235221121"/>
          <c:y val="0.2572178477690289"/>
          <c:w val="0.54754214300618276"/>
          <c:h val="0.39964822105570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Sheet1!$B$68</c:f>
              <c:strCache>
                <c:ptCount val="1"/>
                <c:pt idx="0">
                  <c:v>Sum of Daily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Sheet1!$A$69:$A$95</c:f>
              <c:multiLvlStrCache>
                <c:ptCount val="13"/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  <c:pt idx="12">
                    <c:v>(blank)</c:v>
                  </c:pt>
                </c:lvl>
                <c:lvl>
                  <c:pt idx="0">
                    <c:v>Aman</c:v>
                  </c:pt>
                  <c:pt idx="1">
                    <c:v>Geeta</c:v>
                  </c:pt>
                  <c:pt idx="2">
                    <c:v>Minu</c:v>
                  </c:pt>
                  <c:pt idx="3">
                    <c:v>Pooja</c:v>
                  </c:pt>
                  <c:pt idx="4">
                    <c:v>Priya</c:v>
                  </c:pt>
                  <c:pt idx="5">
                    <c:v>Raj</c:v>
                  </c:pt>
                  <c:pt idx="6">
                    <c:v>Ravi</c:v>
                  </c:pt>
                  <c:pt idx="7">
                    <c:v>Rinu</c:v>
                  </c:pt>
                  <c:pt idx="8">
                    <c:v>Rita</c:v>
                  </c:pt>
                  <c:pt idx="9">
                    <c:v>Riya</c:v>
                  </c:pt>
                  <c:pt idx="10">
                    <c:v>Sita</c:v>
                  </c:pt>
                  <c:pt idx="11">
                    <c:v>Sohan</c:v>
                  </c:pt>
                  <c:pt idx="12">
                    <c:v>(blank)</c:v>
                  </c:pt>
                </c:lvl>
              </c:multiLvlStrCache>
            </c:multiLvlStrRef>
          </c:cat>
          <c:val>
            <c:numRef>
              <c:f>Sheet1!$B$69:$B$95</c:f>
              <c:numCache>
                <c:formatCode>General</c:formatCode>
                <c:ptCount val="13"/>
                <c:pt idx="0">
                  <c:v>2500</c:v>
                </c:pt>
                <c:pt idx="1">
                  <c:v>2320</c:v>
                </c:pt>
                <c:pt idx="2">
                  <c:v>2600</c:v>
                </c:pt>
                <c:pt idx="3">
                  <c:v>3300</c:v>
                </c:pt>
                <c:pt idx="4">
                  <c:v>2000</c:v>
                </c:pt>
                <c:pt idx="5">
                  <c:v>5200</c:v>
                </c:pt>
                <c:pt idx="6">
                  <c:v>2700</c:v>
                </c:pt>
                <c:pt idx="7">
                  <c:v>2800</c:v>
                </c:pt>
                <c:pt idx="8">
                  <c:v>3000</c:v>
                </c:pt>
                <c:pt idx="9">
                  <c:v>2500</c:v>
                </c:pt>
                <c:pt idx="10">
                  <c:v>2900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0-4043-8D7C-DB3CCF7AEA13}"/>
            </c:ext>
          </c:extLst>
        </c:ser>
        <c:ser>
          <c:idx val="1"/>
          <c:order val="1"/>
          <c:tx>
            <c:strRef>
              <c:f>Sheet1!$C$68</c:f>
              <c:strCache>
                <c:ptCount val="1"/>
                <c:pt idx="0">
                  <c:v>Sum of Monthly Salary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Sheet1!$A$69:$A$95</c:f>
              <c:multiLvlStrCache>
                <c:ptCount val="13"/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  <c:pt idx="12">
                    <c:v>(blank)</c:v>
                  </c:pt>
                </c:lvl>
                <c:lvl>
                  <c:pt idx="0">
                    <c:v>Aman</c:v>
                  </c:pt>
                  <c:pt idx="1">
                    <c:v>Geeta</c:v>
                  </c:pt>
                  <c:pt idx="2">
                    <c:v>Minu</c:v>
                  </c:pt>
                  <c:pt idx="3">
                    <c:v>Pooja</c:v>
                  </c:pt>
                  <c:pt idx="4">
                    <c:v>Priya</c:v>
                  </c:pt>
                  <c:pt idx="5">
                    <c:v>Raj</c:v>
                  </c:pt>
                  <c:pt idx="6">
                    <c:v>Ravi</c:v>
                  </c:pt>
                  <c:pt idx="7">
                    <c:v>Rinu</c:v>
                  </c:pt>
                  <c:pt idx="8">
                    <c:v>Rita</c:v>
                  </c:pt>
                  <c:pt idx="9">
                    <c:v>Riya</c:v>
                  </c:pt>
                  <c:pt idx="10">
                    <c:v>Sita</c:v>
                  </c:pt>
                  <c:pt idx="11">
                    <c:v>Sohan</c:v>
                  </c:pt>
                  <c:pt idx="12">
                    <c:v>(blank)</c:v>
                  </c:pt>
                </c:lvl>
              </c:multiLvlStrCache>
            </c:multiLvlStrRef>
          </c:cat>
          <c:val>
            <c:numRef>
              <c:f>Sheet1!$C$69:$C$95</c:f>
              <c:numCache>
                <c:formatCode>General</c:formatCode>
                <c:ptCount val="13"/>
                <c:pt idx="0">
                  <c:v>52500</c:v>
                </c:pt>
                <c:pt idx="1">
                  <c:v>55680</c:v>
                </c:pt>
                <c:pt idx="2">
                  <c:v>67600</c:v>
                </c:pt>
                <c:pt idx="3">
                  <c:v>72600</c:v>
                </c:pt>
                <c:pt idx="4">
                  <c:v>50000</c:v>
                </c:pt>
                <c:pt idx="5">
                  <c:v>104000</c:v>
                </c:pt>
                <c:pt idx="6">
                  <c:v>64800</c:v>
                </c:pt>
                <c:pt idx="7">
                  <c:v>67200</c:v>
                </c:pt>
                <c:pt idx="8">
                  <c:v>78000</c:v>
                </c:pt>
                <c:pt idx="9">
                  <c:v>65000</c:v>
                </c:pt>
                <c:pt idx="10">
                  <c:v>72500</c:v>
                </c:pt>
                <c:pt idx="11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0-4043-8D7C-DB3CCF7AEA13}"/>
            </c:ext>
          </c:extLst>
        </c:ser>
        <c:ser>
          <c:idx val="2"/>
          <c:order val="2"/>
          <c:tx>
            <c:strRef>
              <c:f>Sheet1!$D$68</c:f>
              <c:strCache>
                <c:ptCount val="1"/>
                <c:pt idx="0">
                  <c:v>Sum of Working 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Sheet1!$A$69:$A$95</c:f>
              <c:multiLvlStrCache>
                <c:ptCount val="13"/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  <c:pt idx="12">
                    <c:v>(blank)</c:v>
                  </c:pt>
                </c:lvl>
                <c:lvl>
                  <c:pt idx="0">
                    <c:v>Aman</c:v>
                  </c:pt>
                  <c:pt idx="1">
                    <c:v>Geeta</c:v>
                  </c:pt>
                  <c:pt idx="2">
                    <c:v>Minu</c:v>
                  </c:pt>
                  <c:pt idx="3">
                    <c:v>Pooja</c:v>
                  </c:pt>
                  <c:pt idx="4">
                    <c:v>Priya</c:v>
                  </c:pt>
                  <c:pt idx="5">
                    <c:v>Raj</c:v>
                  </c:pt>
                  <c:pt idx="6">
                    <c:v>Ravi</c:v>
                  </c:pt>
                  <c:pt idx="7">
                    <c:v>Rinu</c:v>
                  </c:pt>
                  <c:pt idx="8">
                    <c:v>Rita</c:v>
                  </c:pt>
                  <c:pt idx="9">
                    <c:v>Riya</c:v>
                  </c:pt>
                  <c:pt idx="10">
                    <c:v>Sita</c:v>
                  </c:pt>
                  <c:pt idx="11">
                    <c:v>Sohan</c:v>
                  </c:pt>
                  <c:pt idx="12">
                    <c:v>(blank)</c:v>
                  </c:pt>
                </c:lvl>
              </c:multiLvlStrCache>
            </c:multiLvlStrRef>
          </c:cat>
          <c:val>
            <c:numRef>
              <c:f>Sheet1!$D$69:$D$95</c:f>
              <c:numCache>
                <c:formatCode>General</c:formatCode>
                <c:ptCount val="13"/>
                <c:pt idx="0">
                  <c:v>21</c:v>
                </c:pt>
                <c:pt idx="1">
                  <c:v>24</c:v>
                </c:pt>
                <c:pt idx="2">
                  <c:v>26</c:v>
                </c:pt>
                <c:pt idx="3">
                  <c:v>22</c:v>
                </c:pt>
                <c:pt idx="4">
                  <c:v>25</c:v>
                </c:pt>
                <c:pt idx="5">
                  <c:v>20</c:v>
                </c:pt>
                <c:pt idx="6">
                  <c:v>24</c:v>
                </c:pt>
                <c:pt idx="7">
                  <c:v>24</c:v>
                </c:pt>
                <c:pt idx="8">
                  <c:v>26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0-4043-8D7C-DB3CCF7AEA13}"/>
            </c:ext>
          </c:extLst>
        </c:ser>
        <c:ser>
          <c:idx val="3"/>
          <c:order val="3"/>
          <c:tx>
            <c:strRef>
              <c:f>Sheet1!$E$68</c:f>
              <c:strCache>
                <c:ptCount val="1"/>
                <c:pt idx="0">
                  <c:v>Sum of Average Monthly Salary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Sheet1!$A$69:$A$95</c:f>
              <c:multiLvlStrCache>
                <c:ptCount val="13"/>
                <c:lvl>
                  <c:pt idx="0">
                    <c:v>Eligible Bonus</c:v>
                  </c:pt>
                  <c:pt idx="1">
                    <c:v>Eligible Bonus</c:v>
                  </c:pt>
                  <c:pt idx="2">
                    <c:v>Eligible Bonus</c:v>
                  </c:pt>
                  <c:pt idx="3">
                    <c:v>Eligible Bonus</c:v>
                  </c:pt>
                  <c:pt idx="4">
                    <c:v>Eligible Bonus</c:v>
                  </c:pt>
                  <c:pt idx="5">
                    <c:v>Eligible Bonus</c:v>
                  </c:pt>
                  <c:pt idx="6">
                    <c:v>Eligible Bonus</c:v>
                  </c:pt>
                  <c:pt idx="7">
                    <c:v>Eligible Bonus</c:v>
                  </c:pt>
                  <c:pt idx="8">
                    <c:v>Eligible Bonus</c:v>
                  </c:pt>
                  <c:pt idx="9">
                    <c:v>Eligible Bonus</c:v>
                  </c:pt>
                  <c:pt idx="10">
                    <c:v>Eligible Bonus</c:v>
                  </c:pt>
                  <c:pt idx="11">
                    <c:v>Eligible Bonus</c:v>
                  </c:pt>
                  <c:pt idx="12">
                    <c:v>(blank)</c:v>
                  </c:pt>
                </c:lvl>
                <c:lvl>
                  <c:pt idx="0">
                    <c:v>Aman</c:v>
                  </c:pt>
                  <c:pt idx="1">
                    <c:v>Geeta</c:v>
                  </c:pt>
                  <c:pt idx="2">
                    <c:v>Minu</c:v>
                  </c:pt>
                  <c:pt idx="3">
                    <c:v>Pooja</c:v>
                  </c:pt>
                  <c:pt idx="4">
                    <c:v>Priya</c:v>
                  </c:pt>
                  <c:pt idx="5">
                    <c:v>Raj</c:v>
                  </c:pt>
                  <c:pt idx="6">
                    <c:v>Ravi</c:v>
                  </c:pt>
                  <c:pt idx="7">
                    <c:v>Rinu</c:v>
                  </c:pt>
                  <c:pt idx="8">
                    <c:v>Rita</c:v>
                  </c:pt>
                  <c:pt idx="9">
                    <c:v>Riya</c:v>
                  </c:pt>
                  <c:pt idx="10">
                    <c:v>Sita</c:v>
                  </c:pt>
                  <c:pt idx="11">
                    <c:v>Sohan</c:v>
                  </c:pt>
                  <c:pt idx="12">
                    <c:v>(blank)</c:v>
                  </c:pt>
                </c:lvl>
              </c:multiLvlStrCache>
            </c:multiLvlStrRef>
          </c:cat>
          <c:val>
            <c:numRef>
              <c:f>Sheet1!$E$69:$E$95</c:f>
              <c:numCache>
                <c:formatCode>General</c:formatCode>
                <c:ptCount val="13"/>
                <c:pt idx="0">
                  <c:v>36350</c:v>
                </c:pt>
                <c:pt idx="1">
                  <c:v>36350</c:v>
                </c:pt>
                <c:pt idx="2">
                  <c:v>36350</c:v>
                </c:pt>
                <c:pt idx="3">
                  <c:v>36350</c:v>
                </c:pt>
                <c:pt idx="4">
                  <c:v>36350</c:v>
                </c:pt>
                <c:pt idx="5">
                  <c:v>57943.333333333336</c:v>
                </c:pt>
                <c:pt idx="6">
                  <c:v>36350</c:v>
                </c:pt>
                <c:pt idx="7">
                  <c:v>36350</c:v>
                </c:pt>
                <c:pt idx="8">
                  <c:v>36350</c:v>
                </c:pt>
                <c:pt idx="9">
                  <c:v>36350</c:v>
                </c:pt>
                <c:pt idx="10">
                  <c:v>36350</c:v>
                </c:pt>
                <c:pt idx="11">
                  <c:v>36350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80-4043-8D7C-DB3CCF7AE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06832"/>
        <c:axId val="590450288"/>
      </c:barChart>
      <c:catAx>
        <c:axId val="59850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50288"/>
        <c:crosses val="autoZero"/>
        <c:auto val="1"/>
        <c:lblAlgn val="ctr"/>
        <c:lblOffset val="100"/>
        <c:noMultiLvlLbl val="0"/>
      </c:catAx>
      <c:valAx>
        <c:axId val="5904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0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23</xdr:row>
      <xdr:rowOff>214312</xdr:rowOff>
    </xdr:from>
    <xdr:to>
      <xdr:col>9</xdr:col>
      <xdr:colOff>1200150</xdr:colOff>
      <xdr:row>38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1B3DDE-968B-6E45-A2FA-93B1EC5EA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39</xdr:row>
      <xdr:rowOff>4762</xdr:rowOff>
    </xdr:from>
    <xdr:to>
      <xdr:col>8</xdr:col>
      <xdr:colOff>1162050</xdr:colOff>
      <xdr:row>53</xdr:row>
      <xdr:rowOff>66676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756352-81F3-8605-EE4C-71592FBFF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38099</xdr:colOff>
      <xdr:row>66</xdr:row>
      <xdr:rowOff>185737</xdr:rowOff>
    </xdr:from>
    <xdr:to>
      <xdr:col>8</xdr:col>
      <xdr:colOff>1333499</xdr:colOff>
      <xdr:row>81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281F77-9B8F-A0FA-F5B6-2CCB30673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19051</xdr:colOff>
      <xdr:row>81</xdr:row>
      <xdr:rowOff>128587</xdr:rowOff>
    </xdr:from>
    <xdr:to>
      <xdr:col>9</xdr:col>
      <xdr:colOff>104775</xdr:colOff>
      <xdr:row>96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3CAB82-D6F8-6605-E2BF-42AB763AF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iya" refreshedDate="46254.149803703702" createdVersion="8" refreshedVersion="8" minRefreshableVersion="3" recordCount="20" xr:uid="{6562E4CA-4046-4E8B-BE94-FFBA33C7293E}">
  <cacheSource type="worksheet">
    <worksheetSource name="Table1"/>
  </cacheSource>
  <cacheFields count="8">
    <cacheField name="Em.Name " numFmtId="0">
      <sharedItems count="20">
        <s v="Raj"/>
        <s v="Rita"/>
        <s v="Sohan"/>
        <s v="Pooja"/>
        <s v="Sita"/>
        <s v="Minu"/>
        <s v="Rinu"/>
        <s v="Riya"/>
        <s v="Ravi"/>
        <s v="Geeta"/>
        <s v="Aman"/>
        <s v="Priya"/>
        <s v="Mohan"/>
        <s v="Pihu"/>
        <s v="Seema"/>
        <s v="Rohan"/>
        <s v="Hinu"/>
        <s v="Saman"/>
        <s v="Dika"/>
        <s v="Sinu"/>
      </sharedItems>
    </cacheField>
    <cacheField name="Department" numFmtId="0">
      <sharedItems count="4">
        <s v="HR"/>
        <s v="Sales"/>
        <s v="IMM"/>
        <s v="IT"/>
      </sharedItems>
    </cacheField>
    <cacheField name="Daily Wage" numFmtId="0">
      <sharedItems containsSemiMixedTypes="0" containsString="0" containsNumber="1" containsInteger="1" minValue="1200" maxValue="5200"/>
    </cacheField>
    <cacheField name="Working Days" numFmtId="0">
      <sharedItems containsSemiMixedTypes="0" containsString="0" containsNumber="1" containsInteger="1" minValue="20" maxValue="26"/>
    </cacheField>
    <cacheField name="Monthly Salary " numFmtId="0">
      <sharedItems containsString="0" containsBlank="1" containsNumber="1" containsInteger="1" minValue="30000" maxValue="104000"/>
    </cacheField>
    <cacheField name="Bonus Eligible" numFmtId="0">
      <sharedItems count="2">
        <s v="Eligible Bonus"/>
        <s v="Not  Eligible"/>
      </sharedItems>
    </cacheField>
    <cacheField name="Average Monthly Salary" numFmtId="0">
      <sharedItems containsSemiMixedTypes="0" containsString="0" containsNumber="1" minValue="30000" maxValue="57943.333333333336"/>
    </cacheField>
    <cacheField name="Attendance" numFmtId="0">
      <sharedItems containsSemiMixedTypes="0" containsString="0" containsNumber="1" containsInteger="1" minValue="10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iya" refreshedDate="46254.162823379629" createdVersion="8" refreshedVersion="8" minRefreshableVersion="3" recordCount="21" xr:uid="{FA42AB3C-76F6-4A04-9C8B-5549A8F0A76B}">
  <cacheSource type="worksheet">
    <worksheetSource ref="A2:H23" sheet="Sheet1"/>
  </cacheSource>
  <cacheFields count="8">
    <cacheField name="Em.Name " numFmtId="0">
      <sharedItems containsBlank="1" count="21">
        <s v="Raj"/>
        <s v="Rita"/>
        <s v="Sohan"/>
        <s v="Pooja"/>
        <s v="Sita"/>
        <s v="Minu"/>
        <s v="Rinu"/>
        <s v="Riya"/>
        <s v="Ravi"/>
        <s v="Geeta"/>
        <s v="Aman"/>
        <s v="Priya"/>
        <s v="Seema"/>
        <s v="Rohan"/>
        <s v="Hinu"/>
        <s v="Saman"/>
        <s v="Dika"/>
        <s v="Sinu"/>
        <s v="Mohan"/>
        <s v="Pihu"/>
        <m/>
      </sharedItems>
    </cacheField>
    <cacheField name="Department" numFmtId="0">
      <sharedItems containsBlank="1"/>
    </cacheField>
    <cacheField name="Daily Wage" numFmtId="0">
      <sharedItems containsString="0" containsBlank="1" containsNumber="1" containsInteger="1" minValue="1200" maxValue="5200"/>
    </cacheField>
    <cacheField name="Working Days" numFmtId="0">
      <sharedItems containsString="0" containsBlank="1" containsNumber="1" containsInteger="1" minValue="20" maxValue="26"/>
    </cacheField>
    <cacheField name="Monthly Salary " numFmtId="0">
      <sharedItems containsString="0" containsBlank="1" containsNumber="1" containsInteger="1" minValue="30000" maxValue="104000"/>
    </cacheField>
    <cacheField name="Bonus Eligible" numFmtId="0">
      <sharedItems containsBlank="1" count="3">
        <s v="Eligible Bonus"/>
        <s v="Not  Eligible"/>
        <m/>
      </sharedItems>
    </cacheField>
    <cacheField name="Average Monthly Salary" numFmtId="0">
      <sharedItems containsString="0" containsBlank="1" containsNumber="1" minValue="22.2" maxValue="57943.333333333336"/>
    </cacheField>
    <cacheField name="Attendance" numFmtId="0">
      <sharedItems containsString="0" containsBlank="1" containsNumber="1" containsInteger="1" minValue="10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5200"/>
    <n v="20"/>
    <n v="104000"/>
    <x v="0"/>
    <n v="57943.333333333336"/>
    <n v="28"/>
  </r>
  <r>
    <x v="1"/>
    <x v="1"/>
    <n v="3000"/>
    <n v="26"/>
    <n v="78000"/>
    <x v="0"/>
    <n v="36350"/>
    <n v="15"/>
  </r>
  <r>
    <x v="2"/>
    <x v="2"/>
    <n v="3000"/>
    <n v="25"/>
    <n v="75000"/>
    <x v="0"/>
    <n v="36350"/>
    <n v="23"/>
  </r>
  <r>
    <x v="3"/>
    <x v="2"/>
    <n v="3300"/>
    <n v="22"/>
    <n v="72600"/>
    <x v="0"/>
    <n v="36350"/>
    <n v="24"/>
  </r>
  <r>
    <x v="4"/>
    <x v="1"/>
    <n v="2900"/>
    <n v="25"/>
    <n v="72500"/>
    <x v="0"/>
    <n v="36350"/>
    <n v="19"/>
  </r>
  <r>
    <x v="5"/>
    <x v="3"/>
    <n v="2600"/>
    <n v="26"/>
    <n v="67600"/>
    <x v="0"/>
    <n v="36350"/>
    <n v="25"/>
  </r>
  <r>
    <x v="6"/>
    <x v="3"/>
    <n v="2800"/>
    <n v="24"/>
    <n v="67200"/>
    <x v="0"/>
    <n v="36350"/>
    <n v="19"/>
  </r>
  <r>
    <x v="7"/>
    <x v="0"/>
    <n v="2500"/>
    <n v="26"/>
    <n v="65000"/>
    <x v="0"/>
    <n v="36350"/>
    <n v="21"/>
  </r>
  <r>
    <x v="8"/>
    <x v="0"/>
    <n v="2700"/>
    <n v="24"/>
    <n v="64800"/>
    <x v="0"/>
    <n v="36350"/>
    <n v="10"/>
  </r>
  <r>
    <x v="9"/>
    <x v="0"/>
    <n v="2320"/>
    <n v="24"/>
    <n v="55680"/>
    <x v="0"/>
    <n v="36350"/>
    <n v="16"/>
  </r>
  <r>
    <x v="10"/>
    <x v="0"/>
    <n v="2500"/>
    <n v="21"/>
    <n v="52500"/>
    <x v="0"/>
    <n v="36350"/>
    <n v="24"/>
  </r>
  <r>
    <x v="11"/>
    <x v="0"/>
    <n v="2000"/>
    <n v="25"/>
    <n v="50000"/>
    <x v="0"/>
    <n v="36350"/>
    <n v="25"/>
  </r>
  <r>
    <x v="12"/>
    <x v="2"/>
    <n v="1800"/>
    <n v="26"/>
    <m/>
    <x v="1"/>
    <n v="36350"/>
    <n v="22"/>
  </r>
  <r>
    <x v="13"/>
    <x v="1"/>
    <n v="1900"/>
    <n v="24"/>
    <m/>
    <x v="1"/>
    <n v="36350"/>
    <n v="21"/>
  </r>
  <r>
    <x v="14"/>
    <x v="2"/>
    <n v="2100"/>
    <n v="20"/>
    <n v="42000"/>
    <x v="1"/>
    <n v="36350"/>
    <n v="21"/>
  </r>
  <r>
    <x v="15"/>
    <x v="2"/>
    <n v="1700"/>
    <n v="24"/>
    <n v="40800"/>
    <x v="1"/>
    <n v="35220"/>
    <n v="27"/>
  </r>
  <r>
    <x v="16"/>
    <x v="3"/>
    <n v="1600"/>
    <n v="23"/>
    <n v="36800"/>
    <x v="1"/>
    <n v="33825"/>
    <n v="23"/>
  </r>
  <r>
    <x v="17"/>
    <x v="2"/>
    <n v="1500"/>
    <n v="23"/>
    <n v="34500"/>
    <x v="1"/>
    <n v="32833.333333333336"/>
    <n v="26"/>
  </r>
  <r>
    <x v="18"/>
    <x v="2"/>
    <n v="1700"/>
    <n v="20"/>
    <n v="34000"/>
    <x v="1"/>
    <n v="32000"/>
    <n v="25"/>
  </r>
  <r>
    <x v="19"/>
    <x v="3"/>
    <n v="1200"/>
    <n v="25"/>
    <n v="30000"/>
    <x v="1"/>
    <n v="30000"/>
    <n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s v="HR"/>
    <n v="5200"/>
    <n v="20"/>
    <n v="104000"/>
    <x v="0"/>
    <n v="57943.333333333336"/>
    <n v="28"/>
  </r>
  <r>
    <x v="1"/>
    <s v="Sales"/>
    <n v="3000"/>
    <n v="26"/>
    <n v="78000"/>
    <x v="0"/>
    <n v="36350"/>
    <n v="15"/>
  </r>
  <r>
    <x v="2"/>
    <s v="IMM"/>
    <n v="3000"/>
    <n v="25"/>
    <n v="75000"/>
    <x v="0"/>
    <n v="36350"/>
    <n v="23"/>
  </r>
  <r>
    <x v="3"/>
    <s v="IMM"/>
    <n v="3300"/>
    <n v="22"/>
    <n v="72600"/>
    <x v="0"/>
    <n v="36350"/>
    <n v="24"/>
  </r>
  <r>
    <x v="4"/>
    <s v="Sales"/>
    <n v="2900"/>
    <n v="25"/>
    <n v="72500"/>
    <x v="0"/>
    <n v="36350"/>
    <n v="19"/>
  </r>
  <r>
    <x v="5"/>
    <s v="IT"/>
    <n v="2600"/>
    <n v="26"/>
    <n v="67600"/>
    <x v="0"/>
    <n v="36350"/>
    <n v="25"/>
  </r>
  <r>
    <x v="6"/>
    <s v="IT"/>
    <n v="2800"/>
    <n v="24"/>
    <n v="67200"/>
    <x v="0"/>
    <n v="36350"/>
    <n v="19"/>
  </r>
  <r>
    <x v="7"/>
    <s v="HR"/>
    <n v="2500"/>
    <n v="26"/>
    <n v="65000"/>
    <x v="0"/>
    <n v="36350"/>
    <n v="21"/>
  </r>
  <r>
    <x v="8"/>
    <s v="HR"/>
    <n v="2700"/>
    <n v="24"/>
    <n v="64800"/>
    <x v="0"/>
    <n v="36350"/>
    <n v="10"/>
  </r>
  <r>
    <x v="9"/>
    <s v="HR"/>
    <n v="2320"/>
    <n v="24"/>
    <n v="55680"/>
    <x v="0"/>
    <n v="36350"/>
    <n v="16"/>
  </r>
  <r>
    <x v="10"/>
    <s v="HR"/>
    <n v="2500"/>
    <n v="21"/>
    <n v="52500"/>
    <x v="0"/>
    <n v="36350"/>
    <n v="24"/>
  </r>
  <r>
    <x v="11"/>
    <s v="HR"/>
    <n v="2000"/>
    <n v="25"/>
    <n v="50000"/>
    <x v="0"/>
    <n v="36350"/>
    <n v="25"/>
  </r>
  <r>
    <x v="12"/>
    <s v="IMM"/>
    <n v="2100"/>
    <n v="20"/>
    <n v="42000"/>
    <x v="1"/>
    <n v="36350"/>
    <n v="21"/>
  </r>
  <r>
    <x v="13"/>
    <s v="IMM"/>
    <n v="1700"/>
    <n v="24"/>
    <n v="40800"/>
    <x v="1"/>
    <n v="35220"/>
    <n v="27"/>
  </r>
  <r>
    <x v="14"/>
    <s v="IT"/>
    <n v="1600"/>
    <n v="23"/>
    <n v="36800"/>
    <x v="1"/>
    <n v="33825"/>
    <n v="23"/>
  </r>
  <r>
    <x v="15"/>
    <s v="IMM"/>
    <n v="1500"/>
    <n v="23"/>
    <n v="34500"/>
    <x v="1"/>
    <n v="32833.333333333336"/>
    <n v="26"/>
  </r>
  <r>
    <x v="16"/>
    <s v="IMM"/>
    <n v="1700"/>
    <n v="20"/>
    <n v="34000"/>
    <x v="1"/>
    <n v="32000"/>
    <n v="25"/>
  </r>
  <r>
    <x v="17"/>
    <s v="IT"/>
    <n v="1200"/>
    <n v="25"/>
    <n v="30000"/>
    <x v="1"/>
    <n v="30000"/>
    <n v="20"/>
  </r>
  <r>
    <x v="18"/>
    <s v="IMM"/>
    <n v="1800"/>
    <n v="26"/>
    <m/>
    <x v="1"/>
    <n v="22.2"/>
    <n v="22"/>
  </r>
  <r>
    <x v="19"/>
    <s v="Sales"/>
    <n v="1900"/>
    <n v="24"/>
    <m/>
    <x v="1"/>
    <n v="22.2"/>
    <n v="21"/>
  </r>
  <r>
    <x v="20"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AEEEE-1F55-4EBB-B04D-A1972602CF57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8:E95" firstHeaderRow="0" firstDataRow="1" firstDataCol="1"/>
  <pivotFields count="8">
    <pivotField axis="axisRow" showAll="0">
      <items count="22">
        <item x="10"/>
        <item x="16"/>
        <item x="9"/>
        <item x="14"/>
        <item x="5"/>
        <item x="18"/>
        <item x="19"/>
        <item x="3"/>
        <item x="11"/>
        <item x="0"/>
        <item x="8"/>
        <item x="6"/>
        <item x="1"/>
        <item x="7"/>
        <item x="13"/>
        <item x="15"/>
        <item x="12"/>
        <item x="17"/>
        <item x="4"/>
        <item x="2"/>
        <item x="20"/>
        <item t="default"/>
      </items>
    </pivotField>
    <pivotField showAll="0"/>
    <pivotField dataField="1" showAll="0"/>
    <pivotField dataField="1" showAll="0"/>
    <pivotField dataField="1" showAll="0"/>
    <pivotField axis="axisRow" showAll="0">
      <items count="4">
        <item x="0"/>
        <item h="1" x="1"/>
        <item x="2"/>
        <item t="default"/>
      </items>
    </pivotField>
    <pivotField dataField="1" showAll="0"/>
    <pivotField showAll="0"/>
  </pivotFields>
  <rowFields count="2">
    <field x="0"/>
    <field x="5"/>
  </rowFields>
  <rowItems count="27">
    <i>
      <x/>
    </i>
    <i r="1">
      <x/>
    </i>
    <i>
      <x v="2"/>
    </i>
    <i r="1">
      <x/>
    </i>
    <i>
      <x v="4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>
      <x v="13"/>
    </i>
    <i r="1">
      <x/>
    </i>
    <i>
      <x v="18"/>
    </i>
    <i r="1">
      <x/>
    </i>
    <i>
      <x v="19"/>
    </i>
    <i r="1">
      <x/>
    </i>
    <i>
      <x v="20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aily Wage" fld="2" baseField="0" baseItem="0"/>
    <dataField name="Sum of Monthly Salary " fld="4" baseField="0" baseItem="0"/>
    <dataField name="Sum of Working Days" fld="3" baseField="0" baseItem="0"/>
    <dataField name="Sum of Average Monthly Salary" fld="6" baseField="0" baseItem="0"/>
  </dataFields>
  <formats count="20">
    <format dxfId="19">
      <pivotArea outline="0" collapsedLevelsAreSubtotals="1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13">
            <x v="0"/>
            <x v="2"/>
            <x v="4"/>
            <x v="7"/>
            <x v="8"/>
            <x v="9"/>
            <x v="10"/>
            <x v="11"/>
            <x v="12"/>
            <x v="13"/>
            <x v="18"/>
            <x v="19"/>
            <x v="20"/>
          </reference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2">
          <reference field="0" count="1" selected="0">
            <x v="0"/>
          </reference>
          <reference field="5" count="1">
            <x v="0"/>
          </reference>
        </references>
      </pivotArea>
    </format>
    <format dxfId="12">
      <pivotArea dataOnly="0" labelOnly="1" fieldPosition="0">
        <references count="2">
          <reference field="0" count="1" selected="0">
            <x v="2"/>
          </reference>
          <reference field="5" count="1">
            <x v="0"/>
          </reference>
        </references>
      </pivotArea>
    </format>
    <format dxfId="11">
      <pivotArea dataOnly="0" labelOnly="1" fieldPosition="0">
        <references count="2">
          <reference field="0" count="1" selected="0">
            <x v="4"/>
          </reference>
          <reference field="5" count="1">
            <x v="0"/>
          </reference>
        </references>
      </pivotArea>
    </format>
    <format dxfId="10">
      <pivotArea dataOnly="0" labelOnly="1" fieldPosition="0">
        <references count="2">
          <reference field="0" count="1" selected="0">
            <x v="7"/>
          </reference>
          <reference field="5" count="1">
            <x v="0"/>
          </reference>
        </references>
      </pivotArea>
    </format>
    <format dxfId="9">
      <pivotArea dataOnly="0" labelOnly="1" fieldPosition="0">
        <references count="2">
          <reference field="0" count="1" selected="0">
            <x v="8"/>
          </reference>
          <reference field="5" count="1">
            <x v="0"/>
          </reference>
        </references>
      </pivotArea>
    </format>
    <format dxfId="8">
      <pivotArea dataOnly="0" labelOnly="1" fieldPosition="0">
        <references count="2">
          <reference field="0" count="1" selected="0">
            <x v="9"/>
          </reference>
          <reference field="5" count="1">
            <x v="0"/>
          </reference>
        </references>
      </pivotArea>
    </format>
    <format dxfId="7">
      <pivotArea dataOnly="0" labelOnly="1" fieldPosition="0">
        <references count="2">
          <reference field="0" count="1" selected="0">
            <x v="10"/>
          </reference>
          <reference field="5" count="1">
            <x v="0"/>
          </reference>
        </references>
      </pivotArea>
    </format>
    <format dxfId="6">
      <pivotArea dataOnly="0" labelOnly="1" fieldPosition="0">
        <references count="2">
          <reference field="0" count="1" selected="0">
            <x v="11"/>
          </reference>
          <reference field="5" count="1">
            <x v="0"/>
          </reference>
        </references>
      </pivotArea>
    </format>
    <format dxfId="5">
      <pivotArea dataOnly="0" labelOnly="1" fieldPosition="0">
        <references count="2">
          <reference field="0" count="1" selected="0">
            <x v="12"/>
          </reference>
          <reference field="5" count="1">
            <x v="0"/>
          </reference>
        </references>
      </pivotArea>
    </format>
    <format dxfId="4">
      <pivotArea dataOnly="0" labelOnly="1" fieldPosition="0">
        <references count="2">
          <reference field="0" count="1" selected="0">
            <x v="13"/>
          </reference>
          <reference field="5" count="1">
            <x v="0"/>
          </reference>
        </references>
      </pivotArea>
    </format>
    <format dxfId="3">
      <pivotArea dataOnly="0" labelOnly="1" fieldPosition="0">
        <references count="2">
          <reference field="0" count="1" selected="0">
            <x v="18"/>
          </reference>
          <reference field="5" count="1">
            <x v="0"/>
          </reference>
        </references>
      </pivotArea>
    </format>
    <format dxfId="2">
      <pivotArea dataOnly="0" labelOnly="1" fieldPosition="0">
        <references count="2">
          <reference field="0" count="1" selected="0">
            <x v="19"/>
          </reference>
          <reference field="5" count="1">
            <x v="0"/>
          </reference>
        </references>
      </pivotArea>
    </format>
    <format dxfId="1">
      <pivotArea dataOnly="0" labelOnly="1" fieldPosition="0">
        <references count="2">
          <reference field="0" count="1" selected="0">
            <x v="20"/>
          </reference>
          <reference field="5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AA29E-DC96-44C0-B5A8-2651E6EFE0D6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6:E63" firstHeaderRow="0" firstDataRow="1" firstDataCol="1"/>
  <pivotFields count="8">
    <pivotField axis="axisRow" showAll="0">
      <items count="21">
        <item x="10"/>
        <item x="18"/>
        <item x="9"/>
        <item x="16"/>
        <item x="5"/>
        <item x="12"/>
        <item x="13"/>
        <item x="3"/>
        <item x="11"/>
        <item x="0"/>
        <item x="8"/>
        <item x="6"/>
        <item x="1"/>
        <item x="7"/>
        <item x="15"/>
        <item x="17"/>
        <item x="14"/>
        <item x="19"/>
        <item x="4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  <pivotField dataField="1" showAll="0"/>
    <pivotField dataField="1" showAll="0"/>
    <pivotField axis="axisRow" showAll="0">
      <items count="3">
        <item x="0"/>
        <item h="1" x="1"/>
        <item t="default"/>
      </items>
    </pivotField>
    <pivotField dataField="1" showAll="0"/>
    <pivotField showAll="0"/>
  </pivotFields>
  <rowFields count="3">
    <field x="0"/>
    <field x="5"/>
    <field x="1"/>
  </rowFields>
  <rowItems count="37">
    <i>
      <x/>
    </i>
    <i r="1">
      <x/>
    </i>
    <i r="2">
      <x/>
    </i>
    <i>
      <x v="2"/>
    </i>
    <i r="1">
      <x/>
    </i>
    <i r="2">
      <x/>
    </i>
    <i>
      <x v="4"/>
    </i>
    <i r="1">
      <x/>
    </i>
    <i r="2">
      <x v="2"/>
    </i>
    <i>
      <x v="7"/>
    </i>
    <i r="1">
      <x/>
    </i>
    <i r="2">
      <x v="1"/>
    </i>
    <i>
      <x v="8"/>
    </i>
    <i r="1">
      <x/>
    </i>
    <i r="2">
      <x/>
    </i>
    <i>
      <x v="9"/>
    </i>
    <i r="1">
      <x/>
    </i>
    <i r="2">
      <x/>
    </i>
    <i>
      <x v="10"/>
    </i>
    <i r="1">
      <x/>
    </i>
    <i r="2">
      <x/>
    </i>
    <i>
      <x v="11"/>
    </i>
    <i r="1">
      <x/>
    </i>
    <i r="2">
      <x v="2"/>
    </i>
    <i>
      <x v="12"/>
    </i>
    <i r="1">
      <x/>
    </i>
    <i r="2">
      <x v="3"/>
    </i>
    <i>
      <x v="13"/>
    </i>
    <i r="1">
      <x/>
    </i>
    <i r="2">
      <x/>
    </i>
    <i>
      <x v="18"/>
    </i>
    <i r="1">
      <x/>
    </i>
    <i r="2">
      <x v="3"/>
    </i>
    <i>
      <x v="19"/>
    </i>
    <i r="1">
      <x/>
    </i>
    <i r="2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aily Wage" fld="2" baseField="0" baseItem="0"/>
    <dataField name="Sum of Monthly Salary " fld="4" baseField="0" baseItem="0"/>
    <dataField name="Sum of Average Monthly Salary" fld="6" baseField="0" baseItem="0"/>
    <dataField name="Sum of Working Days" fld="3" baseField="0" baseItem="0"/>
  </dataFields>
  <formats count="32">
    <format dxfId="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3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12">
            <x v="0"/>
            <x v="2"/>
            <x v="4"/>
            <x v="7"/>
            <x v="8"/>
            <x v="9"/>
            <x v="10"/>
            <x v="11"/>
            <x v="12"/>
            <x v="13"/>
            <x v="18"/>
            <x v="19"/>
          </reference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2">
          <reference field="0" count="1" selected="0">
            <x v="0"/>
          </reference>
          <reference field="5" count="0"/>
        </references>
      </pivotArea>
    </format>
    <format dxfId="56">
      <pivotArea dataOnly="0" labelOnly="1" fieldPosition="0">
        <references count="2">
          <reference field="0" count="1" selected="0">
            <x v="2"/>
          </reference>
          <reference field="5" count="0"/>
        </references>
      </pivotArea>
    </format>
    <format dxfId="55">
      <pivotArea dataOnly="0" labelOnly="1" fieldPosition="0">
        <references count="2">
          <reference field="0" count="1" selected="0">
            <x v="4"/>
          </reference>
          <reference field="5" count="0"/>
        </references>
      </pivotArea>
    </format>
    <format dxfId="54">
      <pivotArea dataOnly="0" labelOnly="1" fieldPosition="0">
        <references count="2">
          <reference field="0" count="1" selected="0">
            <x v="7"/>
          </reference>
          <reference field="5" count="0"/>
        </references>
      </pivotArea>
    </format>
    <format dxfId="53">
      <pivotArea dataOnly="0" labelOnly="1" fieldPosition="0">
        <references count="2">
          <reference field="0" count="1" selected="0">
            <x v="8"/>
          </reference>
          <reference field="5" count="0"/>
        </references>
      </pivotArea>
    </format>
    <format dxfId="52">
      <pivotArea dataOnly="0" labelOnly="1" fieldPosition="0">
        <references count="2">
          <reference field="0" count="1" selected="0">
            <x v="9"/>
          </reference>
          <reference field="5" count="0"/>
        </references>
      </pivotArea>
    </format>
    <format dxfId="51">
      <pivotArea dataOnly="0" labelOnly="1" fieldPosition="0">
        <references count="2">
          <reference field="0" count="1" selected="0">
            <x v="10"/>
          </reference>
          <reference field="5" count="0"/>
        </references>
      </pivotArea>
    </format>
    <format dxfId="50">
      <pivotArea dataOnly="0" labelOnly="1" fieldPosition="0">
        <references count="2">
          <reference field="0" count="1" selected="0">
            <x v="11"/>
          </reference>
          <reference field="5" count="0"/>
        </references>
      </pivotArea>
    </format>
    <format dxfId="49">
      <pivotArea dataOnly="0" labelOnly="1" fieldPosition="0">
        <references count="2">
          <reference field="0" count="1" selected="0">
            <x v="12"/>
          </reference>
          <reference field="5" count="0"/>
        </references>
      </pivotArea>
    </format>
    <format dxfId="48">
      <pivotArea dataOnly="0" labelOnly="1" fieldPosition="0">
        <references count="2">
          <reference field="0" count="1" selected="0">
            <x v="13"/>
          </reference>
          <reference field="5" count="0"/>
        </references>
      </pivotArea>
    </format>
    <format dxfId="47">
      <pivotArea dataOnly="0" labelOnly="1" fieldPosition="0">
        <references count="2">
          <reference field="0" count="1" selected="0">
            <x v="18"/>
          </reference>
          <reference field="5" count="0"/>
        </references>
      </pivotArea>
    </format>
    <format dxfId="46">
      <pivotArea dataOnly="0" labelOnly="1" fieldPosition="0">
        <references count="2">
          <reference field="0" count="1" selected="0">
            <x v="19"/>
          </reference>
          <reference field="5" count="0"/>
        </references>
      </pivotArea>
    </format>
    <format dxfId="45">
      <pivotArea dataOnly="0" labelOnly="1" fieldPosition="0">
        <references count="3">
          <reference field="0" count="1" selected="0">
            <x v="0"/>
          </reference>
          <reference field="1" count="1">
            <x v="0"/>
          </reference>
          <reference field="5" count="0" selected="0"/>
        </references>
      </pivotArea>
    </format>
    <format dxfId="44">
      <pivotArea dataOnly="0" labelOnly="1" fieldPosition="0">
        <references count="3">
          <reference field="0" count="1" selected="0">
            <x v="2"/>
          </reference>
          <reference field="1" count="1">
            <x v="0"/>
          </reference>
          <reference field="5" count="0" selected="0"/>
        </references>
      </pivotArea>
    </format>
    <format dxfId="43">
      <pivotArea dataOnly="0" labelOnly="1" fieldPosition="0">
        <references count="3">
          <reference field="0" count="1" selected="0">
            <x v="4"/>
          </reference>
          <reference field="1" count="1">
            <x v="2"/>
          </reference>
          <reference field="5" count="0" selected="0"/>
        </references>
      </pivotArea>
    </format>
    <format dxfId="42">
      <pivotArea dataOnly="0" labelOnly="1" fieldPosition="0">
        <references count="3">
          <reference field="0" count="1" selected="0">
            <x v="7"/>
          </reference>
          <reference field="1" count="1">
            <x v="1"/>
          </reference>
          <reference field="5" count="0" selected="0"/>
        </references>
      </pivotArea>
    </format>
    <format dxfId="41">
      <pivotArea dataOnly="0" labelOnly="1" fieldPosition="0">
        <references count="3">
          <reference field="0" count="1" selected="0">
            <x v="8"/>
          </reference>
          <reference field="1" count="1">
            <x v="0"/>
          </reference>
          <reference field="5" count="0" selected="0"/>
        </references>
      </pivotArea>
    </format>
    <format dxfId="40">
      <pivotArea dataOnly="0" labelOnly="1" fieldPosition="0">
        <references count="3">
          <reference field="0" count="1" selected="0">
            <x v="9"/>
          </reference>
          <reference field="1" count="1">
            <x v="0"/>
          </reference>
          <reference field="5" count="0" selected="0"/>
        </references>
      </pivotArea>
    </format>
    <format dxfId="39">
      <pivotArea dataOnly="0" labelOnly="1" fieldPosition="0">
        <references count="3">
          <reference field="0" count="1" selected="0">
            <x v="10"/>
          </reference>
          <reference field="1" count="1">
            <x v="0"/>
          </reference>
          <reference field="5" count="0" selected="0"/>
        </references>
      </pivotArea>
    </format>
    <format dxfId="38">
      <pivotArea dataOnly="0" labelOnly="1" fieldPosition="0">
        <references count="3">
          <reference field="0" count="1" selected="0">
            <x v="11"/>
          </reference>
          <reference field="1" count="1">
            <x v="2"/>
          </reference>
          <reference field="5" count="0" selected="0"/>
        </references>
      </pivotArea>
    </format>
    <format dxfId="37">
      <pivotArea dataOnly="0" labelOnly="1" fieldPosition="0">
        <references count="3">
          <reference field="0" count="1" selected="0">
            <x v="12"/>
          </reference>
          <reference field="1" count="1">
            <x v="3"/>
          </reference>
          <reference field="5" count="0" selected="0"/>
        </references>
      </pivotArea>
    </format>
    <format dxfId="36">
      <pivotArea dataOnly="0" labelOnly="1" fieldPosition="0">
        <references count="3">
          <reference field="0" count="1" selected="0">
            <x v="13"/>
          </reference>
          <reference field="1" count="1">
            <x v="0"/>
          </reference>
          <reference field="5" count="0" selected="0"/>
        </references>
      </pivotArea>
    </format>
    <format dxfId="35">
      <pivotArea dataOnly="0" labelOnly="1" fieldPosition="0">
        <references count="3">
          <reference field="0" count="1" selected="0">
            <x v="18"/>
          </reference>
          <reference field="1" count="1">
            <x v="3"/>
          </reference>
          <reference field="5" count="0" selected="0"/>
        </references>
      </pivotArea>
    </format>
    <format dxfId="34">
      <pivotArea dataOnly="0" labelOnly="1" fieldPosition="0">
        <references count="3">
          <reference field="0" count="1" selected="0">
            <x v="19"/>
          </reference>
          <reference field="1" count="1">
            <x v="1"/>
          </reference>
          <reference field="5" count="0" selected="0"/>
        </references>
      </pivotArea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E1D4FE-6504-4F3C-9745-EF2ED44AC7B0}" name="Table1" displayName="Table1" ref="A2:H22" totalsRowShown="0" headerRowDxfId="21" dataDxfId="65" headerRowBorderDxfId="31" tableBorderDxfId="32" totalsRowBorderDxfId="30">
  <autoFilter ref="A2:H22" xr:uid="{9EE1D4FE-6504-4F3C-9745-EF2ED44AC7B0}">
    <filterColumn colId="5">
      <filters>
        <filter val="Eligible Bonus"/>
      </filters>
    </filterColumn>
  </autoFilter>
  <sortState xmlns:xlrd2="http://schemas.microsoft.com/office/spreadsheetml/2017/richdata2" ref="A3:H22">
    <sortCondition descending="1" ref="E2:E22"/>
  </sortState>
  <tableColumns count="8">
    <tableColumn id="1" xr3:uid="{8ADB7E09-CBCF-4503-910D-5E4D6F8128E3}" name="Em.Name " dataDxfId="29"/>
    <tableColumn id="2" xr3:uid="{2CD9FB5E-910B-4A21-94F0-6402BB507D1A}" name="Department" dataDxfId="28"/>
    <tableColumn id="3" xr3:uid="{171E7A6A-F5C8-47CC-8B93-045DB6064F49}" name="Daily Wage" dataDxfId="27"/>
    <tableColumn id="4" xr3:uid="{42A6D8DF-6938-4060-9171-40944A617378}" name="Working Days" dataDxfId="26"/>
    <tableColumn id="5" xr3:uid="{AA469E1C-5B3B-457B-98DE-A3487623D11C}" name="Monthly Salary " dataDxfId="25">
      <calculatedColumnFormula>C3*D3</calculatedColumnFormula>
    </tableColumn>
    <tableColumn id="6" xr3:uid="{0031EA1B-2E9B-4DE7-98B8-F2334F3AA417}" name="Bonus Eligible" dataDxfId="24">
      <calculatedColumnFormula>IF(E3&gt;=50000,"Eligible Bonus","Not  Eligible")</calculatedColumnFormula>
    </tableColumn>
    <tableColumn id="7" xr3:uid="{3F71289D-B6AC-4428-BDBE-A55414BF18BC}" name="Average Monthly Salary" dataDxfId="23">
      <calculatedColumnFormula>AVERAGE(E3:E22)</calculatedColumnFormula>
    </tableColumn>
    <tableColumn id="8" xr3:uid="{C9934745-EE41-498A-BC99-0C7A79D9AD98}" name="Attendance" dataDxfId="2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D70E-8DA8-4174-B69C-45A8763FC9F6}">
  <dimension ref="A1:O95"/>
  <sheetViews>
    <sheetView tabSelected="1" topLeftCell="A14" workbookViewId="0">
      <selection activeCell="A68" sqref="A68:E95"/>
    </sheetView>
  </sheetViews>
  <sheetFormatPr defaultRowHeight="15" x14ac:dyDescent="0.25"/>
  <cols>
    <col min="1" max="1" width="20" customWidth="1"/>
    <col min="2" max="2" width="21.85546875" customWidth="1"/>
    <col min="3" max="3" width="23" customWidth="1"/>
    <col min="4" max="4" width="31.28515625" customWidth="1"/>
    <col min="5" max="5" width="32.7109375" customWidth="1"/>
    <col min="6" max="6" width="17.28515625" bestFit="1" customWidth="1"/>
    <col min="7" max="7" width="18" customWidth="1"/>
    <col min="8" max="8" width="21.7109375" bestFit="1" customWidth="1"/>
    <col min="9" max="9" width="20.28515625" bestFit="1" customWidth="1"/>
    <col min="10" max="10" width="29" bestFit="1" customWidth="1"/>
  </cols>
  <sheetData>
    <row r="1" spans="1:15" x14ac:dyDescent="0.25">
      <c r="H1" s="1"/>
      <c r="I1" s="2" t="s">
        <v>0</v>
      </c>
      <c r="J1" s="2"/>
      <c r="K1" s="2"/>
      <c r="L1" s="2"/>
      <c r="M1" s="2"/>
      <c r="N1" s="2"/>
      <c r="O1" s="1"/>
    </row>
    <row r="2" spans="1:15" x14ac:dyDescent="0.25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30</v>
      </c>
      <c r="G2" s="10" t="s">
        <v>31</v>
      </c>
      <c r="H2" s="11" t="s">
        <v>32</v>
      </c>
    </row>
    <row r="3" spans="1:15" x14ac:dyDescent="0.25">
      <c r="A3" s="12" t="s">
        <v>12</v>
      </c>
      <c r="B3" s="13" t="s">
        <v>26</v>
      </c>
      <c r="C3" s="13">
        <v>5200</v>
      </c>
      <c r="D3" s="13">
        <v>20</v>
      </c>
      <c r="E3" s="13">
        <f>C3*D3</f>
        <v>104000</v>
      </c>
      <c r="F3" s="13" t="str">
        <f>IF(E3&gt;=50000,"Eligible Bonus","Not  Eligible")</f>
        <v>Eligible Bonus</v>
      </c>
      <c r="G3" s="13">
        <f>AVERAGE(E3:E22)</f>
        <v>57943.333333333336</v>
      </c>
      <c r="H3" s="14">
        <v>28</v>
      </c>
    </row>
    <row r="4" spans="1:15" x14ac:dyDescent="0.25">
      <c r="A4" s="12" t="s">
        <v>10</v>
      </c>
      <c r="B4" s="13" t="s">
        <v>27</v>
      </c>
      <c r="C4" s="13">
        <v>3000</v>
      </c>
      <c r="D4" s="13">
        <v>26</v>
      </c>
      <c r="E4" s="13">
        <f>C4*D4</f>
        <v>78000</v>
      </c>
      <c r="F4" s="13" t="str">
        <f>IF(E4&gt;=50000,"Eligible Bonus","Not  Eligible")</f>
        <v>Eligible Bonus</v>
      </c>
      <c r="G4" s="13">
        <f>AVERAGE(E15:E23)</f>
        <v>36350</v>
      </c>
      <c r="H4" s="14">
        <v>15</v>
      </c>
    </row>
    <row r="5" spans="1:15" x14ac:dyDescent="0.25">
      <c r="A5" s="12" t="s">
        <v>16</v>
      </c>
      <c r="B5" s="13" t="s">
        <v>28</v>
      </c>
      <c r="C5" s="13">
        <v>3000</v>
      </c>
      <c r="D5" s="13">
        <v>25</v>
      </c>
      <c r="E5" s="13">
        <f>C5*D5</f>
        <v>75000</v>
      </c>
      <c r="F5" s="13" t="str">
        <f>IF(E5&gt;=50000,"Eligible Bonus","Not  Eligible")</f>
        <v>Eligible Bonus</v>
      </c>
      <c r="G5" s="13">
        <f>AVERAGE(E15:E24)</f>
        <v>36350</v>
      </c>
      <c r="H5" s="14">
        <v>23</v>
      </c>
    </row>
    <row r="6" spans="1:15" x14ac:dyDescent="0.25">
      <c r="A6" s="12" t="s">
        <v>18</v>
      </c>
      <c r="B6" s="13" t="s">
        <v>28</v>
      </c>
      <c r="C6" s="13">
        <v>3300</v>
      </c>
      <c r="D6" s="13">
        <v>22</v>
      </c>
      <c r="E6" s="13">
        <f>C6*D6</f>
        <v>72600</v>
      </c>
      <c r="F6" s="13" t="str">
        <f>IF(E6&gt;=50000,"Eligible Bonus","Not  Eligible")</f>
        <v>Eligible Bonus</v>
      </c>
      <c r="G6" s="13">
        <f>AVERAGE(E15:E25)</f>
        <v>36350</v>
      </c>
      <c r="H6" s="14">
        <v>24</v>
      </c>
    </row>
    <row r="7" spans="1:15" x14ac:dyDescent="0.25">
      <c r="A7" s="12" t="s">
        <v>9</v>
      </c>
      <c r="B7" s="13" t="s">
        <v>27</v>
      </c>
      <c r="C7" s="13">
        <v>2900</v>
      </c>
      <c r="D7" s="13">
        <v>25</v>
      </c>
      <c r="E7" s="13">
        <f>C7*D7</f>
        <v>72500</v>
      </c>
      <c r="F7" s="13" t="str">
        <f>IF(E7&gt;=50000,"Eligible Bonus","Not  Eligible")</f>
        <v>Eligible Bonus</v>
      </c>
      <c r="G7" s="13">
        <f>AVERAGE(E15:E25)</f>
        <v>36350</v>
      </c>
      <c r="H7" s="14">
        <v>19</v>
      </c>
    </row>
    <row r="8" spans="1:15" x14ac:dyDescent="0.25">
      <c r="A8" s="12" t="s">
        <v>22</v>
      </c>
      <c r="B8" s="13" t="s">
        <v>29</v>
      </c>
      <c r="C8" s="13">
        <v>2600</v>
      </c>
      <c r="D8" s="13">
        <v>26</v>
      </c>
      <c r="E8" s="13">
        <f>C8*D8</f>
        <v>67600</v>
      </c>
      <c r="F8" s="13" t="str">
        <f>IF(E8&gt;=50000,"Eligible Bonus","Not  Eligible")</f>
        <v>Eligible Bonus</v>
      </c>
      <c r="G8" s="13">
        <f>AVERAGE(E15:E25)</f>
        <v>36350</v>
      </c>
      <c r="H8" s="14">
        <v>25</v>
      </c>
    </row>
    <row r="9" spans="1:15" x14ac:dyDescent="0.25">
      <c r="A9" s="12" t="s">
        <v>21</v>
      </c>
      <c r="B9" s="13" t="s">
        <v>29</v>
      </c>
      <c r="C9" s="13">
        <v>2800</v>
      </c>
      <c r="D9" s="13">
        <v>24</v>
      </c>
      <c r="E9" s="13">
        <f>C9*D9</f>
        <v>67200</v>
      </c>
      <c r="F9" s="13" t="str">
        <f>IF(E9&gt;=50000,"Eligible Bonus","Not  Eligible")</f>
        <v>Eligible Bonus</v>
      </c>
      <c r="G9" s="13">
        <f>AVERAGE(E15:E25)</f>
        <v>36350</v>
      </c>
      <c r="H9" s="14">
        <v>19</v>
      </c>
    </row>
    <row r="10" spans="1:15" x14ac:dyDescent="0.25">
      <c r="A10" s="12" t="s">
        <v>7</v>
      </c>
      <c r="B10" s="13" t="s">
        <v>26</v>
      </c>
      <c r="C10" s="13">
        <v>2500</v>
      </c>
      <c r="D10" s="13">
        <v>26</v>
      </c>
      <c r="E10" s="13">
        <f>C10*D10</f>
        <v>65000</v>
      </c>
      <c r="F10" s="13" t="str">
        <f>IF(E10&gt;=50000,"Eligible Bonus","Not  Eligible")</f>
        <v>Eligible Bonus</v>
      </c>
      <c r="G10" s="13">
        <f>AVERAGE(E15:E25)</f>
        <v>36350</v>
      </c>
      <c r="H10" s="14">
        <v>21</v>
      </c>
    </row>
    <row r="11" spans="1:15" x14ac:dyDescent="0.25">
      <c r="A11" s="12" t="s">
        <v>8</v>
      </c>
      <c r="B11" s="13" t="s">
        <v>26</v>
      </c>
      <c r="C11" s="13">
        <v>2700</v>
      </c>
      <c r="D11" s="13">
        <v>24</v>
      </c>
      <c r="E11" s="13">
        <f>C11*D11</f>
        <v>64800</v>
      </c>
      <c r="F11" s="13" t="str">
        <f>IF(E11&gt;=50000,"Eligible Bonus","Not  Eligible")</f>
        <v>Eligible Bonus</v>
      </c>
      <c r="G11" s="13">
        <f>AVERAGE(E15:E25)</f>
        <v>36350</v>
      </c>
      <c r="H11" s="14">
        <v>10</v>
      </c>
    </row>
    <row r="12" spans="1:15" x14ac:dyDescent="0.25">
      <c r="A12" s="12" t="s">
        <v>11</v>
      </c>
      <c r="B12" s="13" t="s">
        <v>26</v>
      </c>
      <c r="C12" s="13">
        <v>2320</v>
      </c>
      <c r="D12" s="13">
        <v>24</v>
      </c>
      <c r="E12" s="13">
        <f>C12*D12</f>
        <v>55680</v>
      </c>
      <c r="F12" s="13" t="str">
        <f>IF(E12&gt;=50000,"Eligible Bonus","Not  Eligible")</f>
        <v>Eligible Bonus</v>
      </c>
      <c r="G12" s="13">
        <f>AVERAGE(E15:E25)</f>
        <v>36350</v>
      </c>
      <c r="H12" s="14">
        <v>16</v>
      </c>
    </row>
    <row r="13" spans="1:15" x14ac:dyDescent="0.25">
      <c r="A13" s="12" t="s">
        <v>13</v>
      </c>
      <c r="B13" s="13" t="s">
        <v>26</v>
      </c>
      <c r="C13" s="13">
        <v>2500</v>
      </c>
      <c r="D13" s="13">
        <v>21</v>
      </c>
      <c r="E13" s="13">
        <f>C13*D13</f>
        <v>52500</v>
      </c>
      <c r="F13" s="13" t="str">
        <f>IF(E13&gt;=50000,"Eligible Bonus","Not  Eligible")</f>
        <v>Eligible Bonus</v>
      </c>
      <c r="G13" s="13">
        <f>AVERAGE(E15:E25)</f>
        <v>36350</v>
      </c>
      <c r="H13" s="14">
        <v>24</v>
      </c>
    </row>
    <row r="14" spans="1:15" x14ac:dyDescent="0.25">
      <c r="A14" s="12" t="s">
        <v>6</v>
      </c>
      <c r="B14" s="13" t="s">
        <v>26</v>
      </c>
      <c r="C14" s="13">
        <v>2000</v>
      </c>
      <c r="D14" s="13">
        <v>25</v>
      </c>
      <c r="E14" s="13">
        <f>C14*D14</f>
        <v>50000</v>
      </c>
      <c r="F14" s="13" t="str">
        <f>IF(E14&gt;=50000,"Eligible Bonus","Not  Eligible")</f>
        <v>Eligible Bonus</v>
      </c>
      <c r="G14" s="13">
        <f>AVERAGE(E15:E25)</f>
        <v>36350</v>
      </c>
      <c r="H14" s="14">
        <v>25</v>
      </c>
    </row>
    <row r="15" spans="1:15" hidden="1" x14ac:dyDescent="0.25">
      <c r="A15" s="12" t="s">
        <v>19</v>
      </c>
      <c r="B15" s="13" t="s">
        <v>28</v>
      </c>
      <c r="C15" s="13">
        <v>2100</v>
      </c>
      <c r="D15" s="13">
        <v>20</v>
      </c>
      <c r="E15" s="13">
        <f>C15*D15</f>
        <v>42000</v>
      </c>
      <c r="F15" s="13" t="str">
        <f>IF(E15&gt;=50000,"Eligible Bonus","Not  Eligible")</f>
        <v>Not  Eligible</v>
      </c>
      <c r="G15" s="13">
        <f>AVERAGE(E15:E23)</f>
        <v>36350</v>
      </c>
      <c r="H15" s="14">
        <v>21</v>
      </c>
    </row>
    <row r="16" spans="1:15" hidden="1" x14ac:dyDescent="0.25">
      <c r="A16" s="12" t="s">
        <v>15</v>
      </c>
      <c r="B16" s="13" t="s">
        <v>28</v>
      </c>
      <c r="C16" s="13">
        <v>1700</v>
      </c>
      <c r="D16" s="13">
        <v>24</v>
      </c>
      <c r="E16" s="13">
        <f>C16*D16</f>
        <v>40800</v>
      </c>
      <c r="F16" s="13" t="str">
        <f>IF(E16&gt;=50000,"Eligible Bonus","Not  Eligible")</f>
        <v>Not  Eligible</v>
      </c>
      <c r="G16" s="13">
        <f>AVERAGE(E16:E23)</f>
        <v>35220</v>
      </c>
      <c r="H16" s="14">
        <v>27</v>
      </c>
    </row>
    <row r="17" spans="1:8" hidden="1" x14ac:dyDescent="0.25">
      <c r="A17" s="12" t="s">
        <v>23</v>
      </c>
      <c r="B17" s="13" t="s">
        <v>29</v>
      </c>
      <c r="C17" s="13">
        <v>1600</v>
      </c>
      <c r="D17" s="13">
        <v>23</v>
      </c>
      <c r="E17" s="13">
        <f>C17*D17</f>
        <v>36800</v>
      </c>
      <c r="F17" s="13" t="str">
        <f>IF(E17&gt;=50000,"Eligible Bonus","Not  Eligible")</f>
        <v>Not  Eligible</v>
      </c>
      <c r="G17" s="13">
        <f>AVERAGE(E17:E23)</f>
        <v>33825</v>
      </c>
      <c r="H17" s="14">
        <v>23</v>
      </c>
    </row>
    <row r="18" spans="1:8" hidden="1" x14ac:dyDescent="0.25">
      <c r="A18" s="12" t="s">
        <v>14</v>
      </c>
      <c r="B18" s="13" t="s">
        <v>28</v>
      </c>
      <c r="C18" s="13">
        <v>1500</v>
      </c>
      <c r="D18" s="13">
        <v>23</v>
      </c>
      <c r="E18" s="13">
        <f>C18*D18</f>
        <v>34500</v>
      </c>
      <c r="F18" s="13" t="str">
        <f>IF(E18&gt;=50000,"Eligible Bonus","Not  Eligible")</f>
        <v>Not  Eligible</v>
      </c>
      <c r="G18" s="13">
        <f>AVERAGE(E18:E23)</f>
        <v>32833.333333333336</v>
      </c>
      <c r="H18" s="14">
        <v>26</v>
      </c>
    </row>
    <row r="19" spans="1:8" hidden="1" x14ac:dyDescent="0.25">
      <c r="A19" s="12" t="s">
        <v>25</v>
      </c>
      <c r="B19" s="13" t="s">
        <v>28</v>
      </c>
      <c r="C19" s="13">
        <v>1700</v>
      </c>
      <c r="D19" s="13">
        <v>20</v>
      </c>
      <c r="E19" s="13">
        <f>C19*D19</f>
        <v>34000</v>
      </c>
      <c r="F19" s="13" t="str">
        <f>IF(E19&gt;=50000,"Eligible Bonus","Not  Eligible")</f>
        <v>Not  Eligible</v>
      </c>
      <c r="G19" s="13">
        <f>AVERAGE(E19:E23)</f>
        <v>32000</v>
      </c>
      <c r="H19" s="14">
        <v>25</v>
      </c>
    </row>
    <row r="20" spans="1:8" hidden="1" x14ac:dyDescent="0.25">
      <c r="A20" s="12" t="s">
        <v>20</v>
      </c>
      <c r="B20" s="13" t="s">
        <v>29</v>
      </c>
      <c r="C20" s="13">
        <v>1200</v>
      </c>
      <c r="D20" s="13">
        <v>25</v>
      </c>
      <c r="E20" s="13">
        <f>C20*D20</f>
        <v>30000</v>
      </c>
      <c r="F20" s="13" t="str">
        <f>IF(E20&gt;=50000,"Eligible Bonus","Not  Eligible")</f>
        <v>Not  Eligible</v>
      </c>
      <c r="G20" s="13">
        <f>AVERAGE(E20:E23)</f>
        <v>30000</v>
      </c>
      <c r="H20" s="14">
        <v>20</v>
      </c>
    </row>
    <row r="21" spans="1:8" hidden="1" x14ac:dyDescent="0.25">
      <c r="A21" s="12" t="s">
        <v>17</v>
      </c>
      <c r="B21" s="13" t="s">
        <v>28</v>
      </c>
      <c r="C21" s="13">
        <v>1800</v>
      </c>
      <c r="D21" s="13">
        <v>26</v>
      </c>
      <c r="E21" s="4"/>
      <c r="F21" s="13" t="str">
        <f>IF(E21&gt;=50000,"Eligible Bonus","Not  Eligible")</f>
        <v>Not  Eligible</v>
      </c>
      <c r="G21" s="13">
        <f>AVERAGE(E21:E31)</f>
        <v>22.2</v>
      </c>
      <c r="H21" s="14">
        <v>22</v>
      </c>
    </row>
    <row r="22" spans="1:8" hidden="1" x14ac:dyDescent="0.25">
      <c r="A22" s="15" t="s">
        <v>24</v>
      </c>
      <c r="B22" s="16" t="s">
        <v>27</v>
      </c>
      <c r="C22" s="16">
        <v>1900</v>
      </c>
      <c r="D22" s="16">
        <v>24</v>
      </c>
      <c r="E22" s="18"/>
      <c r="F22" s="16" t="str">
        <f>IF(E22&gt;=50000,"Eligible Bonus","Not  Eligible")</f>
        <v>Not  Eligible</v>
      </c>
      <c r="G22" s="16">
        <f>AVERAGE(E22:E31)</f>
        <v>22.2</v>
      </c>
      <c r="H22" s="17">
        <v>21</v>
      </c>
    </row>
    <row r="24" spans="1:8" ht="18.75" x14ac:dyDescent="0.3">
      <c r="H24" s="19" t="s">
        <v>41</v>
      </c>
    </row>
    <row r="26" spans="1:8" x14ac:dyDescent="0.25">
      <c r="A26" s="3" t="s">
        <v>33</v>
      </c>
      <c r="B26" s="4" t="s">
        <v>36</v>
      </c>
      <c r="C26" s="4" t="s">
        <v>35</v>
      </c>
      <c r="D26" s="4" t="s">
        <v>38</v>
      </c>
      <c r="E26" s="4" t="s">
        <v>39</v>
      </c>
    </row>
    <row r="27" spans="1:8" x14ac:dyDescent="0.25">
      <c r="A27" s="5" t="s">
        <v>13</v>
      </c>
      <c r="B27" s="6">
        <v>2500</v>
      </c>
      <c r="C27" s="6">
        <v>52500</v>
      </c>
      <c r="D27" s="6">
        <v>36350</v>
      </c>
      <c r="E27" s="6">
        <v>21</v>
      </c>
    </row>
    <row r="28" spans="1:8" x14ac:dyDescent="0.25">
      <c r="A28" s="7" t="s">
        <v>37</v>
      </c>
      <c r="B28" s="6">
        <v>2500</v>
      </c>
      <c r="C28" s="6">
        <v>52500</v>
      </c>
      <c r="D28" s="6">
        <v>36350</v>
      </c>
      <c r="E28" s="6">
        <v>21</v>
      </c>
    </row>
    <row r="29" spans="1:8" x14ac:dyDescent="0.25">
      <c r="A29" s="8" t="s">
        <v>26</v>
      </c>
      <c r="B29" s="6">
        <v>2500</v>
      </c>
      <c r="C29" s="6">
        <v>52500</v>
      </c>
      <c r="D29" s="6">
        <v>36350</v>
      </c>
      <c r="E29" s="6">
        <v>21</v>
      </c>
    </row>
    <row r="30" spans="1:8" x14ac:dyDescent="0.25">
      <c r="A30" s="5" t="s">
        <v>11</v>
      </c>
      <c r="B30" s="6">
        <v>2320</v>
      </c>
      <c r="C30" s="6">
        <v>55680</v>
      </c>
      <c r="D30" s="6">
        <v>36350</v>
      </c>
      <c r="E30" s="6">
        <v>24</v>
      </c>
    </row>
    <row r="31" spans="1:8" x14ac:dyDescent="0.25">
      <c r="A31" s="7" t="s">
        <v>37</v>
      </c>
      <c r="B31" s="6">
        <v>2320</v>
      </c>
      <c r="C31" s="6">
        <v>55680</v>
      </c>
      <c r="D31" s="6">
        <v>36350</v>
      </c>
      <c r="E31" s="6">
        <v>24</v>
      </c>
    </row>
    <row r="32" spans="1:8" x14ac:dyDescent="0.25">
      <c r="A32" s="8" t="s">
        <v>26</v>
      </c>
      <c r="B32" s="6">
        <v>2320</v>
      </c>
      <c r="C32" s="6">
        <v>55680</v>
      </c>
      <c r="D32" s="6">
        <v>36350</v>
      </c>
      <c r="E32" s="6">
        <v>24</v>
      </c>
    </row>
    <row r="33" spans="1:5" x14ac:dyDescent="0.25">
      <c r="A33" s="5" t="s">
        <v>22</v>
      </c>
      <c r="B33" s="6">
        <v>2600</v>
      </c>
      <c r="C33" s="6">
        <v>67600</v>
      </c>
      <c r="D33" s="6">
        <v>36350</v>
      </c>
      <c r="E33" s="6">
        <v>26</v>
      </c>
    </row>
    <row r="34" spans="1:5" x14ac:dyDescent="0.25">
      <c r="A34" s="7" t="s">
        <v>37</v>
      </c>
      <c r="B34" s="6">
        <v>2600</v>
      </c>
      <c r="C34" s="6">
        <v>67600</v>
      </c>
      <c r="D34" s="6">
        <v>36350</v>
      </c>
      <c r="E34" s="6">
        <v>26</v>
      </c>
    </row>
    <row r="35" spans="1:5" x14ac:dyDescent="0.25">
      <c r="A35" s="8" t="s">
        <v>29</v>
      </c>
      <c r="B35" s="6">
        <v>2600</v>
      </c>
      <c r="C35" s="6">
        <v>67600</v>
      </c>
      <c r="D35" s="6">
        <v>36350</v>
      </c>
      <c r="E35" s="6">
        <v>26</v>
      </c>
    </row>
    <row r="36" spans="1:5" x14ac:dyDescent="0.25">
      <c r="A36" s="5" t="s">
        <v>18</v>
      </c>
      <c r="B36" s="6">
        <v>3300</v>
      </c>
      <c r="C36" s="6">
        <v>72600</v>
      </c>
      <c r="D36" s="6">
        <v>36350</v>
      </c>
      <c r="E36" s="6">
        <v>22</v>
      </c>
    </row>
    <row r="37" spans="1:5" x14ac:dyDescent="0.25">
      <c r="A37" s="7" t="s">
        <v>37</v>
      </c>
      <c r="B37" s="6">
        <v>3300</v>
      </c>
      <c r="C37" s="6">
        <v>72600</v>
      </c>
      <c r="D37" s="6">
        <v>36350</v>
      </c>
      <c r="E37" s="6">
        <v>22</v>
      </c>
    </row>
    <row r="38" spans="1:5" x14ac:dyDescent="0.25">
      <c r="A38" s="8" t="s">
        <v>28</v>
      </c>
      <c r="B38" s="6">
        <v>3300</v>
      </c>
      <c r="C38" s="6">
        <v>72600</v>
      </c>
      <c r="D38" s="6">
        <v>36350</v>
      </c>
      <c r="E38" s="6">
        <v>22</v>
      </c>
    </row>
    <row r="39" spans="1:5" x14ac:dyDescent="0.25">
      <c r="A39" s="5" t="s">
        <v>6</v>
      </c>
      <c r="B39" s="6">
        <v>2000</v>
      </c>
      <c r="C39" s="6">
        <v>50000</v>
      </c>
      <c r="D39" s="6">
        <v>36350</v>
      </c>
      <c r="E39" s="6">
        <v>25</v>
      </c>
    </row>
    <row r="40" spans="1:5" x14ac:dyDescent="0.25">
      <c r="A40" s="7" t="s">
        <v>37</v>
      </c>
      <c r="B40" s="6">
        <v>2000</v>
      </c>
      <c r="C40" s="6">
        <v>50000</v>
      </c>
      <c r="D40" s="6">
        <v>36350</v>
      </c>
      <c r="E40" s="6">
        <v>25</v>
      </c>
    </row>
    <row r="41" spans="1:5" x14ac:dyDescent="0.25">
      <c r="A41" s="8" t="s">
        <v>26</v>
      </c>
      <c r="B41" s="6">
        <v>2000</v>
      </c>
      <c r="C41" s="6">
        <v>50000</v>
      </c>
      <c r="D41" s="6">
        <v>36350</v>
      </c>
      <c r="E41" s="6">
        <v>25</v>
      </c>
    </row>
    <row r="42" spans="1:5" x14ac:dyDescent="0.25">
      <c r="A42" s="5" t="s">
        <v>12</v>
      </c>
      <c r="B42" s="6">
        <v>5200</v>
      </c>
      <c r="C42" s="6">
        <v>104000</v>
      </c>
      <c r="D42" s="6">
        <v>57943.333333333336</v>
      </c>
      <c r="E42" s="6">
        <v>20</v>
      </c>
    </row>
    <row r="43" spans="1:5" x14ac:dyDescent="0.25">
      <c r="A43" s="7" t="s">
        <v>37</v>
      </c>
      <c r="B43" s="6">
        <v>5200</v>
      </c>
      <c r="C43" s="6">
        <v>104000</v>
      </c>
      <c r="D43" s="6">
        <v>57943.333333333336</v>
      </c>
      <c r="E43" s="6">
        <v>20</v>
      </c>
    </row>
    <row r="44" spans="1:5" x14ac:dyDescent="0.25">
      <c r="A44" s="8" t="s">
        <v>26</v>
      </c>
      <c r="B44" s="6">
        <v>5200</v>
      </c>
      <c r="C44" s="6">
        <v>104000</v>
      </c>
      <c r="D44" s="6">
        <v>57943.333333333336</v>
      </c>
      <c r="E44" s="6">
        <v>20</v>
      </c>
    </row>
    <row r="45" spans="1:5" x14ac:dyDescent="0.25">
      <c r="A45" s="5" t="s">
        <v>8</v>
      </c>
      <c r="B45" s="6">
        <v>2700</v>
      </c>
      <c r="C45" s="6">
        <v>64800</v>
      </c>
      <c r="D45" s="6">
        <v>36350</v>
      </c>
      <c r="E45" s="6">
        <v>24</v>
      </c>
    </row>
    <row r="46" spans="1:5" x14ac:dyDescent="0.25">
      <c r="A46" s="7" t="s">
        <v>37</v>
      </c>
      <c r="B46" s="6">
        <v>2700</v>
      </c>
      <c r="C46" s="6">
        <v>64800</v>
      </c>
      <c r="D46" s="6">
        <v>36350</v>
      </c>
      <c r="E46" s="6">
        <v>24</v>
      </c>
    </row>
    <row r="47" spans="1:5" x14ac:dyDescent="0.25">
      <c r="A47" s="8" t="s">
        <v>26</v>
      </c>
      <c r="B47" s="6">
        <v>2700</v>
      </c>
      <c r="C47" s="6">
        <v>64800</v>
      </c>
      <c r="D47" s="6">
        <v>36350</v>
      </c>
      <c r="E47" s="6">
        <v>24</v>
      </c>
    </row>
    <row r="48" spans="1:5" x14ac:dyDescent="0.25">
      <c r="A48" s="5" t="s">
        <v>21</v>
      </c>
      <c r="B48" s="6">
        <v>2800</v>
      </c>
      <c r="C48" s="6">
        <v>67200</v>
      </c>
      <c r="D48" s="6">
        <v>36350</v>
      </c>
      <c r="E48" s="6">
        <v>24</v>
      </c>
    </row>
    <row r="49" spans="1:5" x14ac:dyDescent="0.25">
      <c r="A49" s="7" t="s">
        <v>37</v>
      </c>
      <c r="B49" s="6">
        <v>2800</v>
      </c>
      <c r="C49" s="6">
        <v>67200</v>
      </c>
      <c r="D49" s="6">
        <v>36350</v>
      </c>
      <c r="E49" s="6">
        <v>24</v>
      </c>
    </row>
    <row r="50" spans="1:5" x14ac:dyDescent="0.25">
      <c r="A50" s="8" t="s">
        <v>29</v>
      </c>
      <c r="B50" s="6">
        <v>2800</v>
      </c>
      <c r="C50" s="6">
        <v>67200</v>
      </c>
      <c r="D50" s="6">
        <v>36350</v>
      </c>
      <c r="E50" s="6">
        <v>24</v>
      </c>
    </row>
    <row r="51" spans="1:5" x14ac:dyDescent="0.25">
      <c r="A51" s="5" t="s">
        <v>10</v>
      </c>
      <c r="B51" s="6">
        <v>3000</v>
      </c>
      <c r="C51" s="6">
        <v>78000</v>
      </c>
      <c r="D51" s="6">
        <v>36350</v>
      </c>
      <c r="E51" s="6">
        <v>26</v>
      </c>
    </row>
    <row r="52" spans="1:5" x14ac:dyDescent="0.25">
      <c r="A52" s="7" t="s">
        <v>37</v>
      </c>
      <c r="B52" s="6">
        <v>3000</v>
      </c>
      <c r="C52" s="6">
        <v>78000</v>
      </c>
      <c r="D52" s="6">
        <v>36350</v>
      </c>
      <c r="E52" s="6">
        <v>26</v>
      </c>
    </row>
    <row r="53" spans="1:5" x14ac:dyDescent="0.25">
      <c r="A53" s="8" t="s">
        <v>27</v>
      </c>
      <c r="B53" s="6">
        <v>3000</v>
      </c>
      <c r="C53" s="6">
        <v>78000</v>
      </c>
      <c r="D53" s="6">
        <v>36350</v>
      </c>
      <c r="E53" s="6">
        <v>26</v>
      </c>
    </row>
    <row r="54" spans="1:5" x14ac:dyDescent="0.25">
      <c r="A54" s="5" t="s">
        <v>7</v>
      </c>
      <c r="B54" s="6">
        <v>2500</v>
      </c>
      <c r="C54" s="6">
        <v>65000</v>
      </c>
      <c r="D54" s="6">
        <v>36350</v>
      </c>
      <c r="E54" s="6">
        <v>26</v>
      </c>
    </row>
    <row r="55" spans="1:5" x14ac:dyDescent="0.25">
      <c r="A55" s="7" t="s">
        <v>37</v>
      </c>
      <c r="B55" s="6">
        <v>2500</v>
      </c>
      <c r="C55" s="6">
        <v>65000</v>
      </c>
      <c r="D55" s="6">
        <v>36350</v>
      </c>
      <c r="E55" s="6">
        <v>26</v>
      </c>
    </row>
    <row r="56" spans="1:5" x14ac:dyDescent="0.25">
      <c r="A56" s="8" t="s">
        <v>26</v>
      </c>
      <c r="B56" s="6">
        <v>2500</v>
      </c>
      <c r="C56" s="6">
        <v>65000</v>
      </c>
      <c r="D56" s="6">
        <v>36350</v>
      </c>
      <c r="E56" s="6">
        <v>26</v>
      </c>
    </row>
    <row r="57" spans="1:5" x14ac:dyDescent="0.25">
      <c r="A57" s="5" t="s">
        <v>9</v>
      </c>
      <c r="B57" s="6">
        <v>2900</v>
      </c>
      <c r="C57" s="6">
        <v>72500</v>
      </c>
      <c r="D57" s="6">
        <v>36350</v>
      </c>
      <c r="E57" s="6">
        <v>25</v>
      </c>
    </row>
    <row r="58" spans="1:5" x14ac:dyDescent="0.25">
      <c r="A58" s="7" t="s">
        <v>37</v>
      </c>
      <c r="B58" s="6">
        <v>2900</v>
      </c>
      <c r="C58" s="6">
        <v>72500</v>
      </c>
      <c r="D58" s="6">
        <v>36350</v>
      </c>
      <c r="E58" s="6">
        <v>25</v>
      </c>
    </row>
    <row r="59" spans="1:5" x14ac:dyDescent="0.25">
      <c r="A59" s="8" t="s">
        <v>27</v>
      </c>
      <c r="B59" s="6">
        <v>2900</v>
      </c>
      <c r="C59" s="6">
        <v>72500</v>
      </c>
      <c r="D59" s="6">
        <v>36350</v>
      </c>
      <c r="E59" s="6">
        <v>25</v>
      </c>
    </row>
    <row r="60" spans="1:5" x14ac:dyDescent="0.25">
      <c r="A60" s="5" t="s">
        <v>16</v>
      </c>
      <c r="B60" s="6">
        <v>3000</v>
      </c>
      <c r="C60" s="6">
        <v>75000</v>
      </c>
      <c r="D60" s="6">
        <v>36350</v>
      </c>
      <c r="E60" s="6">
        <v>25</v>
      </c>
    </row>
    <row r="61" spans="1:5" x14ac:dyDescent="0.25">
      <c r="A61" s="7" t="s">
        <v>37</v>
      </c>
      <c r="B61" s="6">
        <v>3000</v>
      </c>
      <c r="C61" s="6">
        <v>75000</v>
      </c>
      <c r="D61" s="6">
        <v>36350</v>
      </c>
      <c r="E61" s="6">
        <v>25</v>
      </c>
    </row>
    <row r="62" spans="1:5" x14ac:dyDescent="0.25">
      <c r="A62" s="8" t="s">
        <v>28</v>
      </c>
      <c r="B62" s="6">
        <v>3000</v>
      </c>
      <c r="C62" s="6">
        <v>75000</v>
      </c>
      <c r="D62" s="6">
        <v>36350</v>
      </c>
      <c r="E62" s="6">
        <v>25</v>
      </c>
    </row>
    <row r="63" spans="1:5" x14ac:dyDescent="0.25">
      <c r="A63" s="5" t="s">
        <v>34</v>
      </c>
      <c r="B63" s="6">
        <v>34820</v>
      </c>
      <c r="C63" s="6">
        <v>824880</v>
      </c>
      <c r="D63" s="6">
        <v>457793.33333333337</v>
      </c>
      <c r="E63" s="6">
        <v>288</v>
      </c>
    </row>
    <row r="66" spans="1:5" ht="24" x14ac:dyDescent="0.4">
      <c r="B66" s="20" t="s">
        <v>42</v>
      </c>
    </row>
    <row r="68" spans="1:5" x14ac:dyDescent="0.25">
      <c r="A68" s="3" t="s">
        <v>33</v>
      </c>
      <c r="B68" s="4" t="s">
        <v>36</v>
      </c>
      <c r="C68" s="4" t="s">
        <v>35</v>
      </c>
      <c r="D68" s="4" t="s">
        <v>39</v>
      </c>
      <c r="E68" s="4" t="s">
        <v>38</v>
      </c>
    </row>
    <row r="69" spans="1:5" x14ac:dyDescent="0.25">
      <c r="A69" s="5" t="s">
        <v>13</v>
      </c>
      <c r="B69" s="6">
        <v>2500</v>
      </c>
      <c r="C69" s="6">
        <v>52500</v>
      </c>
      <c r="D69" s="6">
        <v>21</v>
      </c>
      <c r="E69" s="6">
        <v>36350</v>
      </c>
    </row>
    <row r="70" spans="1:5" x14ac:dyDescent="0.25">
      <c r="A70" s="7" t="s">
        <v>37</v>
      </c>
      <c r="B70" s="6">
        <v>2500</v>
      </c>
      <c r="C70" s="6">
        <v>52500</v>
      </c>
      <c r="D70" s="6">
        <v>21</v>
      </c>
      <c r="E70" s="6">
        <v>36350</v>
      </c>
    </row>
    <row r="71" spans="1:5" x14ac:dyDescent="0.25">
      <c r="A71" s="5" t="s">
        <v>11</v>
      </c>
      <c r="B71" s="6">
        <v>2320</v>
      </c>
      <c r="C71" s="6">
        <v>55680</v>
      </c>
      <c r="D71" s="6">
        <v>24</v>
      </c>
      <c r="E71" s="6">
        <v>36350</v>
      </c>
    </row>
    <row r="72" spans="1:5" x14ac:dyDescent="0.25">
      <c r="A72" s="7" t="s">
        <v>37</v>
      </c>
      <c r="B72" s="6">
        <v>2320</v>
      </c>
      <c r="C72" s="6">
        <v>55680</v>
      </c>
      <c r="D72" s="6">
        <v>24</v>
      </c>
      <c r="E72" s="6">
        <v>36350</v>
      </c>
    </row>
    <row r="73" spans="1:5" x14ac:dyDescent="0.25">
      <c r="A73" s="5" t="s">
        <v>22</v>
      </c>
      <c r="B73" s="6">
        <v>2600</v>
      </c>
      <c r="C73" s="6">
        <v>67600</v>
      </c>
      <c r="D73" s="6">
        <v>26</v>
      </c>
      <c r="E73" s="6">
        <v>36350</v>
      </c>
    </row>
    <row r="74" spans="1:5" x14ac:dyDescent="0.25">
      <c r="A74" s="7" t="s">
        <v>37</v>
      </c>
      <c r="B74" s="6">
        <v>2600</v>
      </c>
      <c r="C74" s="6">
        <v>67600</v>
      </c>
      <c r="D74" s="6">
        <v>26</v>
      </c>
      <c r="E74" s="6">
        <v>36350</v>
      </c>
    </row>
    <row r="75" spans="1:5" x14ac:dyDescent="0.25">
      <c r="A75" s="5" t="s">
        <v>18</v>
      </c>
      <c r="B75" s="6">
        <v>3300</v>
      </c>
      <c r="C75" s="6">
        <v>72600</v>
      </c>
      <c r="D75" s="6">
        <v>22</v>
      </c>
      <c r="E75" s="6">
        <v>36350</v>
      </c>
    </row>
    <row r="76" spans="1:5" x14ac:dyDescent="0.25">
      <c r="A76" s="7" t="s">
        <v>37</v>
      </c>
      <c r="B76" s="6">
        <v>3300</v>
      </c>
      <c r="C76" s="6">
        <v>72600</v>
      </c>
      <c r="D76" s="6">
        <v>22</v>
      </c>
      <c r="E76" s="6">
        <v>36350</v>
      </c>
    </row>
    <row r="77" spans="1:5" x14ac:dyDescent="0.25">
      <c r="A77" s="5" t="s">
        <v>6</v>
      </c>
      <c r="B77" s="6">
        <v>2000</v>
      </c>
      <c r="C77" s="6">
        <v>50000</v>
      </c>
      <c r="D77" s="6">
        <v>25</v>
      </c>
      <c r="E77" s="6">
        <v>36350</v>
      </c>
    </row>
    <row r="78" spans="1:5" x14ac:dyDescent="0.25">
      <c r="A78" s="7" t="s">
        <v>37</v>
      </c>
      <c r="B78" s="6">
        <v>2000</v>
      </c>
      <c r="C78" s="6">
        <v>50000</v>
      </c>
      <c r="D78" s="6">
        <v>25</v>
      </c>
      <c r="E78" s="6">
        <v>36350</v>
      </c>
    </row>
    <row r="79" spans="1:5" x14ac:dyDescent="0.25">
      <c r="A79" s="5" t="s">
        <v>12</v>
      </c>
      <c r="B79" s="6">
        <v>5200</v>
      </c>
      <c r="C79" s="6">
        <v>104000</v>
      </c>
      <c r="D79" s="6">
        <v>20</v>
      </c>
      <c r="E79" s="6">
        <v>57943.333333333336</v>
      </c>
    </row>
    <row r="80" spans="1:5" x14ac:dyDescent="0.25">
      <c r="A80" s="7" t="s">
        <v>37</v>
      </c>
      <c r="B80" s="6">
        <v>5200</v>
      </c>
      <c r="C80" s="6">
        <v>104000</v>
      </c>
      <c r="D80" s="6">
        <v>20</v>
      </c>
      <c r="E80" s="6">
        <v>57943.333333333336</v>
      </c>
    </row>
    <row r="81" spans="1:5" x14ac:dyDescent="0.25">
      <c r="A81" s="5" t="s">
        <v>8</v>
      </c>
      <c r="B81" s="6">
        <v>2700</v>
      </c>
      <c r="C81" s="6">
        <v>64800</v>
      </c>
      <c r="D81" s="6">
        <v>24</v>
      </c>
      <c r="E81" s="6">
        <v>36350</v>
      </c>
    </row>
    <row r="82" spans="1:5" x14ac:dyDescent="0.25">
      <c r="A82" s="7" t="s">
        <v>37</v>
      </c>
      <c r="B82" s="6">
        <v>2700</v>
      </c>
      <c r="C82" s="6">
        <v>64800</v>
      </c>
      <c r="D82" s="6">
        <v>24</v>
      </c>
      <c r="E82" s="6">
        <v>36350</v>
      </c>
    </row>
    <row r="83" spans="1:5" x14ac:dyDescent="0.25">
      <c r="A83" s="5" t="s">
        <v>21</v>
      </c>
      <c r="B83" s="6">
        <v>2800</v>
      </c>
      <c r="C83" s="6">
        <v>67200</v>
      </c>
      <c r="D83" s="6">
        <v>24</v>
      </c>
      <c r="E83" s="6">
        <v>36350</v>
      </c>
    </row>
    <row r="84" spans="1:5" x14ac:dyDescent="0.25">
      <c r="A84" s="7" t="s">
        <v>37</v>
      </c>
      <c r="B84" s="6">
        <v>2800</v>
      </c>
      <c r="C84" s="6">
        <v>67200</v>
      </c>
      <c r="D84" s="6">
        <v>24</v>
      </c>
      <c r="E84" s="6">
        <v>36350</v>
      </c>
    </row>
    <row r="85" spans="1:5" x14ac:dyDescent="0.25">
      <c r="A85" s="5" t="s">
        <v>10</v>
      </c>
      <c r="B85" s="6">
        <v>3000</v>
      </c>
      <c r="C85" s="6">
        <v>78000</v>
      </c>
      <c r="D85" s="6">
        <v>26</v>
      </c>
      <c r="E85" s="6">
        <v>36350</v>
      </c>
    </row>
    <row r="86" spans="1:5" x14ac:dyDescent="0.25">
      <c r="A86" s="7" t="s">
        <v>37</v>
      </c>
      <c r="B86" s="6">
        <v>3000</v>
      </c>
      <c r="C86" s="6">
        <v>78000</v>
      </c>
      <c r="D86" s="6">
        <v>26</v>
      </c>
      <c r="E86" s="6">
        <v>36350</v>
      </c>
    </row>
    <row r="87" spans="1:5" x14ac:dyDescent="0.25">
      <c r="A87" s="5" t="s">
        <v>7</v>
      </c>
      <c r="B87" s="6">
        <v>2500</v>
      </c>
      <c r="C87" s="6">
        <v>65000</v>
      </c>
      <c r="D87" s="6">
        <v>26</v>
      </c>
      <c r="E87" s="6">
        <v>36350</v>
      </c>
    </row>
    <row r="88" spans="1:5" x14ac:dyDescent="0.25">
      <c r="A88" s="7" t="s">
        <v>37</v>
      </c>
      <c r="B88" s="6">
        <v>2500</v>
      </c>
      <c r="C88" s="6">
        <v>65000</v>
      </c>
      <c r="D88" s="6">
        <v>26</v>
      </c>
      <c r="E88" s="6">
        <v>36350</v>
      </c>
    </row>
    <row r="89" spans="1:5" x14ac:dyDescent="0.25">
      <c r="A89" s="5" t="s">
        <v>9</v>
      </c>
      <c r="B89" s="6">
        <v>2900</v>
      </c>
      <c r="C89" s="6">
        <v>72500</v>
      </c>
      <c r="D89" s="6">
        <v>25</v>
      </c>
      <c r="E89" s="6">
        <v>36350</v>
      </c>
    </row>
    <row r="90" spans="1:5" x14ac:dyDescent="0.25">
      <c r="A90" s="7" t="s">
        <v>37</v>
      </c>
      <c r="B90" s="6">
        <v>2900</v>
      </c>
      <c r="C90" s="6">
        <v>72500</v>
      </c>
      <c r="D90" s="6">
        <v>25</v>
      </c>
      <c r="E90" s="6">
        <v>36350</v>
      </c>
    </row>
    <row r="91" spans="1:5" x14ac:dyDescent="0.25">
      <c r="A91" s="5" t="s">
        <v>16</v>
      </c>
      <c r="B91" s="6">
        <v>3000</v>
      </c>
      <c r="C91" s="6">
        <v>75000</v>
      </c>
      <c r="D91" s="6">
        <v>25</v>
      </c>
      <c r="E91" s="6">
        <v>36350</v>
      </c>
    </row>
    <row r="92" spans="1:5" x14ac:dyDescent="0.25">
      <c r="A92" s="7" t="s">
        <v>37</v>
      </c>
      <c r="B92" s="6">
        <v>3000</v>
      </c>
      <c r="C92" s="6">
        <v>75000</v>
      </c>
      <c r="D92" s="6">
        <v>25</v>
      </c>
      <c r="E92" s="6">
        <v>36350</v>
      </c>
    </row>
    <row r="93" spans="1:5" x14ac:dyDescent="0.25">
      <c r="A93" s="5" t="s">
        <v>40</v>
      </c>
      <c r="B93" s="6"/>
      <c r="C93" s="6"/>
      <c r="D93" s="6"/>
      <c r="E93" s="6"/>
    </row>
    <row r="94" spans="1:5" x14ac:dyDescent="0.25">
      <c r="A94" s="7" t="s">
        <v>40</v>
      </c>
      <c r="B94" s="6"/>
      <c r="C94" s="6"/>
      <c r="D94" s="6"/>
      <c r="E94" s="6"/>
    </row>
    <row r="95" spans="1:5" x14ac:dyDescent="0.25">
      <c r="A95" s="5" t="s">
        <v>34</v>
      </c>
      <c r="B95" s="6">
        <v>34820</v>
      </c>
      <c r="C95" s="6">
        <v>824880</v>
      </c>
      <c r="D95" s="6">
        <v>288</v>
      </c>
      <c r="E95" s="6">
        <v>457793.33333333337</v>
      </c>
    </row>
  </sheetData>
  <sortState xmlns:xlrd2="http://schemas.microsoft.com/office/spreadsheetml/2017/richdata2" ref="A3:H22">
    <sortCondition descending="1" ref="E3:E22"/>
  </sortState>
  <mergeCells count="1">
    <mergeCell ref="I1:N1"/>
  </mergeCells>
  <conditionalFormatting sqref="H3:H22">
    <cfRule type="cellIs" dxfId="20" priority="1" operator="lessThan">
      <formula>20</formula>
    </cfRule>
  </conditionalFormatting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</dc:creator>
  <cp:lastModifiedBy>Supriya</cp:lastModifiedBy>
  <dcterms:created xsi:type="dcterms:W3CDTF">2026-08-19T19:27:17Z</dcterms:created>
  <dcterms:modified xsi:type="dcterms:W3CDTF">2026-08-19T22:33:33Z</dcterms:modified>
</cp:coreProperties>
</file>