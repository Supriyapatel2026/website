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iya\Desktop\Excel.S.P\"/>
    </mc:Choice>
  </mc:AlternateContent>
  <xr:revisionPtr revIDLastSave="0" documentId="13_ncr:1_{1E292C3C-C820-4EF3-8081-82F170073984}" xr6:coauthVersionLast="47" xr6:coauthVersionMax="47" xr10:uidLastSave="{00000000-0000-0000-0000-000000000000}"/>
  <bookViews>
    <workbookView xWindow="-120" yWindow="-120" windowWidth="24240" windowHeight="13020" xr2:uid="{93C8B9A2-F7EC-45B4-BF52-ABB2C04B407D}"/>
  </bookViews>
  <sheets>
    <sheet name="Student Data" sheetId="1" r:id="rId1"/>
    <sheet name="Analysi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B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B5" i="2"/>
  <c r="B4" i="2"/>
  <c r="I8" i="1"/>
  <c r="I10" i="1"/>
  <c r="I3" i="1"/>
  <c r="I13" i="1"/>
  <c r="I4" i="1"/>
  <c r="I15" i="1"/>
  <c r="I7" i="1"/>
  <c r="I12" i="1"/>
  <c r="I14" i="1"/>
  <c r="I6" i="1"/>
  <c r="I9" i="1"/>
  <c r="I11" i="1"/>
  <c r="I16" i="1"/>
  <c r="I5" i="1"/>
  <c r="G8" i="1"/>
  <c r="G10" i="1"/>
  <c r="G3" i="1"/>
  <c r="G13" i="1"/>
  <c r="G4" i="1"/>
  <c r="G15" i="1"/>
  <c r="G7" i="1"/>
  <c r="G12" i="1"/>
  <c r="G14" i="1"/>
  <c r="G6" i="1"/>
  <c r="G9" i="1"/>
  <c r="G11" i="1"/>
  <c r="G16" i="1"/>
  <c r="G5" i="1"/>
</calcChain>
</file>

<file path=xl/sharedStrings.xml><?xml version="1.0" encoding="utf-8"?>
<sst xmlns="http://schemas.openxmlformats.org/spreadsheetml/2006/main" count="30" uniqueCount="30">
  <si>
    <t>Student Name</t>
  </si>
  <si>
    <t>Science</t>
  </si>
  <si>
    <t>English</t>
  </si>
  <si>
    <t>Computer Science</t>
  </si>
  <si>
    <t>Attendance %</t>
  </si>
  <si>
    <t>Aarav</t>
  </si>
  <si>
    <t>Priya</t>
  </si>
  <si>
    <t>Rahul</t>
  </si>
  <si>
    <t>Sneha</t>
  </si>
  <si>
    <t>Aditya</t>
  </si>
  <si>
    <t>Ananya</t>
  </si>
  <si>
    <t>Rohan</t>
  </si>
  <si>
    <t>Neha</t>
  </si>
  <si>
    <t>Vikram</t>
  </si>
  <si>
    <t>Isha</t>
  </si>
  <si>
    <t>Karan</t>
  </si>
  <si>
    <t>Pooja</t>
  </si>
  <si>
    <t>Arjun</t>
  </si>
  <si>
    <t>Simran</t>
  </si>
  <si>
    <t>Mohit</t>
  </si>
  <si>
    <t>Math</t>
  </si>
  <si>
    <t xml:space="preserve">Total </t>
  </si>
  <si>
    <t>Average</t>
  </si>
  <si>
    <t>Result</t>
  </si>
  <si>
    <t>Highest Total</t>
  </si>
  <si>
    <t>Lowest Total</t>
  </si>
  <si>
    <t>Class Average</t>
  </si>
  <si>
    <t>ANALYSIS SHEET</t>
  </si>
  <si>
    <t xml:space="preserve">Matric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</si>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</sst>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7" xfId="0" applyNumberFormat="1" applyBorder="1"/>
  </cellXfs>
  <cellStyles count="1">
    <cellStyle name="Normal" xfId="0" builtinId="0"/>
  </cellStyles>
  <dxfs count="2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 Name V/S Total Marks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4"/>
          <c:tx>
            <c:strRef>
              <c:f>'Student Data'!$G$1</c:f>
              <c:strCache>
                <c:ptCount val="1"/>
                <c:pt idx="0">
                  <c:v>Total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'Student Data'!$A$2:$A$16</c:f>
              <c:strCache>
                <c:ptCount val="15"/>
                <c:pt idx="0">
                  <c:v>Aarav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  <c:pt idx="4">
                  <c:v>Aditya</c:v>
                </c:pt>
                <c:pt idx="5">
                  <c:v>Ananya</c:v>
                </c:pt>
                <c:pt idx="6">
                  <c:v>Rohan</c:v>
                </c:pt>
                <c:pt idx="7">
                  <c:v>Neha</c:v>
                </c:pt>
                <c:pt idx="8">
                  <c:v>Vikram</c:v>
                </c:pt>
                <c:pt idx="9">
                  <c:v>Isha</c:v>
                </c:pt>
                <c:pt idx="10">
                  <c:v>Karan</c:v>
                </c:pt>
                <c:pt idx="11">
                  <c:v>Pooja</c:v>
                </c:pt>
                <c:pt idx="12">
                  <c:v>Arjun</c:v>
                </c:pt>
                <c:pt idx="13">
                  <c:v>Simran</c:v>
                </c:pt>
                <c:pt idx="14">
                  <c:v>Mohit</c:v>
                </c:pt>
              </c:strCache>
            </c:strRef>
          </c:cat>
          <c:val>
            <c:numRef>
              <c:f>'Student Data'!$G$2:$G$16</c:f>
              <c:numCache>
                <c:formatCode>General</c:formatCode>
                <c:ptCount val="15"/>
                <c:pt idx="0">
                  <c:v>374</c:v>
                </c:pt>
                <c:pt idx="1">
                  <c:v>370</c:v>
                </c:pt>
                <c:pt idx="2">
                  <c:v>350</c:v>
                </c:pt>
                <c:pt idx="3">
                  <c:v>335</c:v>
                </c:pt>
                <c:pt idx="4">
                  <c:v>333</c:v>
                </c:pt>
                <c:pt idx="5">
                  <c:v>308</c:v>
                </c:pt>
                <c:pt idx="6">
                  <c:v>307</c:v>
                </c:pt>
                <c:pt idx="7">
                  <c:v>294</c:v>
                </c:pt>
                <c:pt idx="8">
                  <c:v>275</c:v>
                </c:pt>
                <c:pt idx="9">
                  <c:v>275</c:v>
                </c:pt>
                <c:pt idx="10">
                  <c:v>271</c:v>
                </c:pt>
                <c:pt idx="11">
                  <c:v>235</c:v>
                </c:pt>
                <c:pt idx="12">
                  <c:v>210</c:v>
                </c:pt>
                <c:pt idx="13">
                  <c:v>195</c:v>
                </c:pt>
                <c:pt idx="1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2-4C1C-AC82-9698E3CEC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65031424"/>
        <c:axId val="1609959056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'Student Data'!$C$1</c15:sqref>
                        </c15:formulaRef>
                      </c:ext>
                    </c:extLst>
                    <c:strCache>
                      <c:ptCount val="1"/>
                      <c:pt idx="0">
                        <c:v>Science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'Student Data'!$A$2:$A$16</c15:sqref>
                        </c15:formulaRef>
                      </c:ext>
                    </c:extLst>
                    <c:strCache>
                      <c:ptCount val="15"/>
                      <c:pt idx="0">
                        <c:v>Aarav</c:v>
                      </c:pt>
                      <c:pt idx="1">
                        <c:v>Priya</c:v>
                      </c:pt>
                      <c:pt idx="2">
                        <c:v>Rahul</c:v>
                      </c:pt>
                      <c:pt idx="3">
                        <c:v>Sneha</c:v>
                      </c:pt>
                      <c:pt idx="4">
                        <c:v>Aditya</c:v>
                      </c:pt>
                      <c:pt idx="5">
                        <c:v>Ananya</c:v>
                      </c:pt>
                      <c:pt idx="6">
                        <c:v>Rohan</c:v>
                      </c:pt>
                      <c:pt idx="7">
                        <c:v>Neha</c:v>
                      </c:pt>
                      <c:pt idx="8">
                        <c:v>Vikram</c:v>
                      </c:pt>
                      <c:pt idx="9">
                        <c:v>Isha</c:v>
                      </c:pt>
                      <c:pt idx="10">
                        <c:v>Karan</c:v>
                      </c:pt>
                      <c:pt idx="11">
                        <c:v>Pooja</c:v>
                      </c:pt>
                      <c:pt idx="12">
                        <c:v>Arjun</c:v>
                      </c:pt>
                      <c:pt idx="13">
                        <c:v>Simran</c:v>
                      </c:pt>
                      <c:pt idx="14">
                        <c:v>Mohit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'Student Data'!$C$2:$C$16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93</c:v>
                      </c:pt>
                      <c:pt idx="1">
                        <c:v>89</c:v>
                      </c:pt>
                      <c:pt idx="2">
                        <c:v>84</c:v>
                      </c:pt>
                      <c:pt idx="3">
                        <c:v>78</c:v>
                      </c:pt>
                      <c:pt idx="4">
                        <c:v>86</c:v>
                      </c:pt>
                      <c:pt idx="5">
                        <c:v>79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70</c:v>
                      </c:pt>
                      <c:pt idx="9">
                        <c:v>72</c:v>
                      </c:pt>
                      <c:pt idx="10">
                        <c:v>64</c:v>
                      </c:pt>
                      <c:pt idx="11">
                        <c:v>62</c:v>
                      </c:pt>
                      <c:pt idx="12">
                        <c:v>55</c:v>
                      </c:pt>
                      <c:pt idx="13">
                        <c:v>52</c:v>
                      </c:pt>
                      <c:pt idx="14">
                        <c:v>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9C2-4C1C-AC82-9698E3CEC363}"/>
                  </c:ext>
                </c:extLst>
              </c15:ser>
            </c15:filteredBarSeries>
            <c15:filteredBa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Data'!$D$1</c15:sqref>
                        </c15:formulaRef>
                      </c:ext>
                    </c:extLst>
                    <c:strCache>
                      <c:ptCount val="1"/>
                      <c:pt idx="0">
                        <c:v>English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Data'!$A$2:$A$16</c15:sqref>
                        </c15:formulaRef>
                      </c:ext>
                    </c:extLst>
                    <c:strCache>
                      <c:ptCount val="15"/>
                      <c:pt idx="0">
                        <c:v>Aarav</c:v>
                      </c:pt>
                      <c:pt idx="1">
                        <c:v>Priya</c:v>
                      </c:pt>
                      <c:pt idx="2">
                        <c:v>Rahul</c:v>
                      </c:pt>
                      <c:pt idx="3">
                        <c:v>Sneha</c:v>
                      </c:pt>
                      <c:pt idx="4">
                        <c:v>Aditya</c:v>
                      </c:pt>
                      <c:pt idx="5">
                        <c:v>Ananya</c:v>
                      </c:pt>
                      <c:pt idx="6">
                        <c:v>Rohan</c:v>
                      </c:pt>
                      <c:pt idx="7">
                        <c:v>Neha</c:v>
                      </c:pt>
                      <c:pt idx="8">
                        <c:v>Vikram</c:v>
                      </c:pt>
                      <c:pt idx="9">
                        <c:v>Isha</c:v>
                      </c:pt>
                      <c:pt idx="10">
                        <c:v>Karan</c:v>
                      </c:pt>
                      <c:pt idx="11">
                        <c:v>Pooja</c:v>
                      </c:pt>
                      <c:pt idx="12">
                        <c:v>Arjun</c:v>
                      </c:pt>
                      <c:pt idx="13">
                        <c:v>Simran</c:v>
                      </c:pt>
                      <c:pt idx="14">
                        <c:v>Mohit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Data'!$D$2:$D$16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90</c:v>
                      </c:pt>
                      <c:pt idx="1">
                        <c:v>95</c:v>
                      </c:pt>
                      <c:pt idx="2">
                        <c:v>91</c:v>
                      </c:pt>
                      <c:pt idx="3">
                        <c:v>82</c:v>
                      </c:pt>
                      <c:pt idx="4">
                        <c:v>80</c:v>
                      </c:pt>
                      <c:pt idx="5">
                        <c:v>73</c:v>
                      </c:pt>
                      <c:pt idx="6">
                        <c:v>75</c:v>
                      </c:pt>
                      <c:pt idx="7">
                        <c:v>70</c:v>
                      </c:pt>
                      <c:pt idx="8">
                        <c:v>68</c:v>
                      </c:pt>
                      <c:pt idx="9">
                        <c:v>65</c:v>
                      </c:pt>
                      <c:pt idx="10">
                        <c:v>71</c:v>
                      </c:pt>
                      <c:pt idx="11">
                        <c:v>58</c:v>
                      </c:pt>
                      <c:pt idx="12">
                        <c:v>52</c:v>
                      </c:pt>
                      <c:pt idx="13">
                        <c:v>48</c:v>
                      </c:pt>
                      <c:pt idx="14">
                        <c:v>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9C2-4C1C-AC82-9698E3CEC363}"/>
                  </c:ext>
                </c:extLst>
              </c15:ser>
            </c15:filteredBarSeries>
            <c15:filteredBa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Data'!$E$1</c15:sqref>
                        </c15:formulaRef>
                      </c:ext>
                    </c:extLst>
                    <c:strCache>
                      <c:ptCount val="1"/>
                      <c:pt idx="0">
                        <c:v>Computer Science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Data'!$A$2:$A$16</c15:sqref>
                        </c15:formulaRef>
                      </c:ext>
                    </c:extLst>
                    <c:strCache>
                      <c:ptCount val="15"/>
                      <c:pt idx="0">
                        <c:v>Aarav</c:v>
                      </c:pt>
                      <c:pt idx="1">
                        <c:v>Priya</c:v>
                      </c:pt>
                      <c:pt idx="2">
                        <c:v>Rahul</c:v>
                      </c:pt>
                      <c:pt idx="3">
                        <c:v>Sneha</c:v>
                      </c:pt>
                      <c:pt idx="4">
                        <c:v>Aditya</c:v>
                      </c:pt>
                      <c:pt idx="5">
                        <c:v>Ananya</c:v>
                      </c:pt>
                      <c:pt idx="6">
                        <c:v>Rohan</c:v>
                      </c:pt>
                      <c:pt idx="7">
                        <c:v>Neha</c:v>
                      </c:pt>
                      <c:pt idx="8">
                        <c:v>Vikram</c:v>
                      </c:pt>
                      <c:pt idx="9">
                        <c:v>Isha</c:v>
                      </c:pt>
                      <c:pt idx="10">
                        <c:v>Karan</c:v>
                      </c:pt>
                      <c:pt idx="11">
                        <c:v>Pooja</c:v>
                      </c:pt>
                      <c:pt idx="12">
                        <c:v>Arjun</c:v>
                      </c:pt>
                      <c:pt idx="13">
                        <c:v>Simran</c:v>
                      </c:pt>
                      <c:pt idx="14">
                        <c:v>Mohit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Data'!$E$2:$E$16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96</c:v>
                      </c:pt>
                      <c:pt idx="1">
                        <c:v>94</c:v>
                      </c:pt>
                      <c:pt idx="2">
                        <c:v>87</c:v>
                      </c:pt>
                      <c:pt idx="3">
                        <c:v>90</c:v>
                      </c:pt>
                      <c:pt idx="4">
                        <c:v>85</c:v>
                      </c:pt>
                      <c:pt idx="5">
                        <c:v>80</c:v>
                      </c:pt>
                      <c:pt idx="6">
                        <c:v>79</c:v>
                      </c:pt>
                      <c:pt idx="7">
                        <c:v>73</c:v>
                      </c:pt>
                      <c:pt idx="8">
                        <c:v>72</c:v>
                      </c:pt>
                      <c:pt idx="9">
                        <c:v>70</c:v>
                      </c:pt>
                      <c:pt idx="10">
                        <c:v>67</c:v>
                      </c:pt>
                      <c:pt idx="11">
                        <c:v>60</c:v>
                      </c:pt>
                      <c:pt idx="12">
                        <c:v>45</c:v>
                      </c:pt>
                      <c:pt idx="13">
                        <c:v>50</c:v>
                      </c:pt>
                      <c:pt idx="14">
                        <c:v>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9C2-4C1C-AC82-9698E3CEC363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Data'!$B$1</c15:sqref>
                        </c15:formulaRef>
                      </c:ext>
                    </c:extLst>
                    <c:strCache>
                      <c:ptCount val="1"/>
                      <c:pt idx="0">
                        <c:v>Math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Data'!$A$2:$A$16</c15:sqref>
                        </c15:formulaRef>
                      </c:ext>
                    </c:extLst>
                    <c:strCache>
                      <c:ptCount val="15"/>
                      <c:pt idx="0">
                        <c:v>Aarav</c:v>
                      </c:pt>
                      <c:pt idx="1">
                        <c:v>Priya</c:v>
                      </c:pt>
                      <c:pt idx="2">
                        <c:v>Rahul</c:v>
                      </c:pt>
                      <c:pt idx="3">
                        <c:v>Sneha</c:v>
                      </c:pt>
                      <c:pt idx="4">
                        <c:v>Aditya</c:v>
                      </c:pt>
                      <c:pt idx="5">
                        <c:v>Ananya</c:v>
                      </c:pt>
                      <c:pt idx="6">
                        <c:v>Rohan</c:v>
                      </c:pt>
                      <c:pt idx="7">
                        <c:v>Neha</c:v>
                      </c:pt>
                      <c:pt idx="8">
                        <c:v>Vikram</c:v>
                      </c:pt>
                      <c:pt idx="9">
                        <c:v>Isha</c:v>
                      </c:pt>
                      <c:pt idx="10">
                        <c:v>Karan</c:v>
                      </c:pt>
                      <c:pt idx="11">
                        <c:v>Pooja</c:v>
                      </c:pt>
                      <c:pt idx="12">
                        <c:v>Arjun</c:v>
                      </c:pt>
                      <c:pt idx="13">
                        <c:v>Simran</c:v>
                      </c:pt>
                      <c:pt idx="14">
                        <c:v>Mohit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Data'!$B$2:$B$16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95</c:v>
                      </c:pt>
                      <c:pt idx="1">
                        <c:v>92</c:v>
                      </c:pt>
                      <c:pt idx="2">
                        <c:v>88</c:v>
                      </c:pt>
                      <c:pt idx="3">
                        <c:v>85</c:v>
                      </c:pt>
                      <c:pt idx="4">
                        <c:v>82</c:v>
                      </c:pt>
                      <c:pt idx="5">
                        <c:v>76</c:v>
                      </c:pt>
                      <c:pt idx="6">
                        <c:v>72</c:v>
                      </c:pt>
                      <c:pt idx="7">
                        <c:v>74</c:v>
                      </c:pt>
                      <c:pt idx="8">
                        <c:v>65</c:v>
                      </c:pt>
                      <c:pt idx="9">
                        <c:v>68</c:v>
                      </c:pt>
                      <c:pt idx="10">
                        <c:v>69</c:v>
                      </c:pt>
                      <c:pt idx="11">
                        <c:v>55</c:v>
                      </c:pt>
                      <c:pt idx="12">
                        <c:v>58</c:v>
                      </c:pt>
                      <c:pt idx="13">
                        <c:v>45</c:v>
                      </c:pt>
                      <c:pt idx="14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9C2-4C1C-AC82-9698E3CEC363}"/>
                  </c:ext>
                </c:extLst>
              </c15:ser>
            </c15:filteredBarSeries>
            <c15:filteredBa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Data'!$F$1</c15:sqref>
                        </c15:formulaRef>
                      </c:ext>
                    </c:extLst>
                    <c:strCache>
                      <c:ptCount val="1"/>
                      <c:pt idx="0">
                        <c:v>Attendance 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Data'!$A$2:$A$16</c15:sqref>
                        </c15:formulaRef>
                      </c:ext>
                    </c:extLst>
                    <c:strCache>
                      <c:ptCount val="15"/>
                      <c:pt idx="0">
                        <c:v>Aarav</c:v>
                      </c:pt>
                      <c:pt idx="1">
                        <c:v>Priya</c:v>
                      </c:pt>
                      <c:pt idx="2">
                        <c:v>Rahul</c:v>
                      </c:pt>
                      <c:pt idx="3">
                        <c:v>Sneha</c:v>
                      </c:pt>
                      <c:pt idx="4">
                        <c:v>Aditya</c:v>
                      </c:pt>
                      <c:pt idx="5">
                        <c:v>Ananya</c:v>
                      </c:pt>
                      <c:pt idx="6">
                        <c:v>Rohan</c:v>
                      </c:pt>
                      <c:pt idx="7">
                        <c:v>Neha</c:v>
                      </c:pt>
                      <c:pt idx="8">
                        <c:v>Vikram</c:v>
                      </c:pt>
                      <c:pt idx="9">
                        <c:v>Isha</c:v>
                      </c:pt>
                      <c:pt idx="10">
                        <c:v>Karan</c:v>
                      </c:pt>
                      <c:pt idx="11">
                        <c:v>Pooja</c:v>
                      </c:pt>
                      <c:pt idx="12">
                        <c:v>Arjun</c:v>
                      </c:pt>
                      <c:pt idx="13">
                        <c:v>Simran</c:v>
                      </c:pt>
                      <c:pt idx="14">
                        <c:v>Mohit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'Student Data'!$F$2:$F$16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99</c:v>
                      </c:pt>
                      <c:pt idx="1">
                        <c:v>97</c:v>
                      </c:pt>
                      <c:pt idx="2">
                        <c:v>94</c:v>
                      </c:pt>
                      <c:pt idx="3">
                        <c:v>92</c:v>
                      </c:pt>
                      <c:pt idx="4">
                        <c:v>91</c:v>
                      </c:pt>
                      <c:pt idx="5">
                        <c:v>86</c:v>
                      </c:pt>
                      <c:pt idx="6">
                        <c:v>88</c:v>
                      </c:pt>
                      <c:pt idx="7">
                        <c:v>84</c:v>
                      </c:pt>
                      <c:pt idx="8">
                        <c:v>80</c:v>
                      </c:pt>
                      <c:pt idx="9">
                        <c:v>79</c:v>
                      </c:pt>
                      <c:pt idx="10">
                        <c:v>78</c:v>
                      </c:pt>
                      <c:pt idx="11">
                        <c:v>75</c:v>
                      </c:pt>
                      <c:pt idx="12">
                        <c:v>72</c:v>
                      </c:pt>
                      <c:pt idx="13">
                        <c:v>68</c:v>
                      </c:pt>
                      <c:pt idx="14">
                        <c:v>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C2-4C1C-AC82-9698E3CEC363}"/>
                  </c:ext>
                </c:extLst>
              </c15:ser>
            </c15:filteredBarSeries>
          </c:ext>
        </c:extLst>
      </c:barChart>
      <c:catAx>
        <c:axId val="166503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959056"/>
        <c:crosses val="autoZero"/>
        <c:auto val="1"/>
        <c:lblAlgn val="ctr"/>
        <c:lblOffset val="100"/>
        <c:noMultiLvlLbl val="0"/>
      </c:catAx>
      <c:valAx>
        <c:axId val="160995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0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7</xdr:col>
      <xdr:colOff>28575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56A4C-68EC-4223-BA08-5E8D64D32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udent%20%20Dat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Student%20Data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G2">
            <v>374</v>
          </cell>
        </row>
        <row r="3">
          <cell r="G3">
            <v>370</v>
          </cell>
        </row>
        <row r="4">
          <cell r="G4">
            <v>350</v>
          </cell>
        </row>
        <row r="5">
          <cell r="G5">
            <v>335</v>
          </cell>
        </row>
        <row r="6">
          <cell r="G6">
            <v>333</v>
          </cell>
        </row>
        <row r="7">
          <cell r="G7">
            <v>308</v>
          </cell>
        </row>
        <row r="8">
          <cell r="G8">
            <v>307</v>
          </cell>
        </row>
        <row r="9">
          <cell r="G9">
            <v>294</v>
          </cell>
        </row>
        <row r="10">
          <cell r="G10">
            <v>275</v>
          </cell>
        </row>
        <row r="11">
          <cell r="G11">
            <v>275</v>
          </cell>
        </row>
        <row r="12">
          <cell r="G12">
            <v>271</v>
          </cell>
        </row>
        <row r="13">
          <cell r="G13">
            <v>235</v>
          </cell>
        </row>
        <row r="14">
          <cell r="G14">
            <v>234</v>
          </cell>
        </row>
        <row r="15">
          <cell r="G15">
            <v>195</v>
          </cell>
        </row>
        <row r="16">
          <cell r="G16">
            <v>175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 Student Data "/>
    </sheetNames>
    <sheetDataSet>
      <sheetData sheetId="0">
        <row r="2">
          <cell r="G2">
            <v>374</v>
          </cell>
          <cell r="H2">
            <v>93.5</v>
          </cell>
        </row>
        <row r="3">
          <cell r="G3">
            <v>370</v>
          </cell>
          <cell r="H3">
            <v>92.5</v>
          </cell>
        </row>
        <row r="4">
          <cell r="G4">
            <v>350</v>
          </cell>
          <cell r="H4">
            <v>87.5</v>
          </cell>
        </row>
        <row r="5">
          <cell r="G5">
            <v>335</v>
          </cell>
          <cell r="H5">
            <v>83.75</v>
          </cell>
        </row>
        <row r="6">
          <cell r="G6">
            <v>333</v>
          </cell>
          <cell r="H6">
            <v>83.25</v>
          </cell>
        </row>
        <row r="7">
          <cell r="G7">
            <v>308</v>
          </cell>
          <cell r="H7">
            <v>77</v>
          </cell>
        </row>
        <row r="8">
          <cell r="G8">
            <v>307</v>
          </cell>
          <cell r="H8">
            <v>76.75</v>
          </cell>
        </row>
        <row r="9">
          <cell r="G9">
            <v>294</v>
          </cell>
          <cell r="H9">
            <v>73.5</v>
          </cell>
        </row>
        <row r="10">
          <cell r="G10">
            <v>275</v>
          </cell>
          <cell r="H10">
            <v>68.75</v>
          </cell>
        </row>
        <row r="11">
          <cell r="G11">
            <v>275</v>
          </cell>
          <cell r="H11">
            <v>68.75</v>
          </cell>
        </row>
        <row r="12">
          <cell r="G12">
            <v>271</v>
          </cell>
          <cell r="H12">
            <v>67.75</v>
          </cell>
        </row>
        <row r="13">
          <cell r="G13">
            <v>235</v>
          </cell>
          <cell r="H13">
            <v>58.75</v>
          </cell>
        </row>
        <row r="14">
          <cell r="G14">
            <v>234</v>
          </cell>
          <cell r="H14">
            <v>58.5</v>
          </cell>
        </row>
        <row r="15">
          <cell r="G15">
            <v>195</v>
          </cell>
          <cell r="H15">
            <v>48.75</v>
          </cell>
        </row>
        <row r="16">
          <cell r="G16">
            <v>175</v>
          </cell>
          <cell r="H16">
            <v>43.75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36A022-2CBA-438E-B766-44B3F41DEB3A}" name="Table5" displayName="Table5" ref="B1:I16" totalsRowShown="0" headerRowDxfId="20" dataDxfId="19">
  <autoFilter ref="B1:I16" xr:uid="{7336A022-2CBA-438E-B766-44B3F41DEB3A}"/>
  <tableColumns count="8">
    <tableColumn id="1" xr3:uid="{20D8BB72-F406-439E-B679-02B4C5908525}" name="Math" dataDxfId="18"/>
    <tableColumn id="2" xr3:uid="{3BFC1CBE-F7C0-462A-AE6C-48870E854627}" name="Science" dataDxfId="17"/>
    <tableColumn id="3" xr3:uid="{33CC2F1A-EC42-4CB3-BC9F-64E260BCE23E}" name="English" dataDxfId="16"/>
    <tableColumn id="4" xr3:uid="{DE03EDB6-43F3-4A80-B621-214DCCC25982}" name="Computer Science" dataDxfId="15"/>
    <tableColumn id="5" xr3:uid="{DA37B4AE-7F84-4410-9981-51232C0F9699}" name="Attendance %" dataDxfId="14"/>
    <tableColumn id="6" xr3:uid="{457F08C7-1A39-4205-8BF3-F02E68FED0F6}" name="Total " dataDxfId="13">
      <calculatedColumnFormula>SUM(B2:E2)</calculatedColumnFormula>
    </tableColumn>
    <tableColumn id="7" xr3:uid="{DFAE6B8D-DD1E-4FFE-90BA-453644176B0A}" name="Average" dataDxfId="8">
      <calculatedColumnFormula>AVERAGE(B2:E2)</calculatedColumnFormula>
    </tableColumn>
    <tableColumn id="8" xr3:uid="{9F4AA2E5-A443-4E1E-80A5-76A9C6F58FCC}" name="Result" dataDxfId="12">
      <calculatedColumnFormula>IF(MIN(B2:E2)&gt;=50,"Pass","Fail")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E29F37-B031-4EC2-BBF8-B1878B4742C9}" name="Table6" displayName="Table6" ref="A1:A16" totalsRowShown="0" headerRowDxfId="11" dataDxfId="10">
  <autoFilter ref="A1:A16" xr:uid="{26E29F37-B031-4EC2-BBF8-B1878B4742C9}"/>
  <tableColumns count="1">
    <tableColumn id="1" xr3:uid="{71C83FAE-CF25-4D8A-9243-05FD9F587F6C}" name="Student Nam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35582D-CD14-4D75-8FE3-1DF12359820F}" name="Table8" displayName="Table8" ref="A2:B5" totalsRowShown="0" headerRowDxfId="0" headerRowBorderDxfId="4" tableBorderDxfId="5" totalsRowBorderDxfId="3">
  <autoFilter ref="A2:B5" xr:uid="{B235582D-CD14-4D75-8FE3-1DF12359820F}"/>
  <tableColumns count="2">
    <tableColumn id="1" xr3:uid="{D644DE4A-B5B9-4438-8243-1E2EA18904BF}" name="Matric " dataDxfId="2"/>
    <tableColumn id="2" xr3:uid="{B3C32E14-C116-4FBE-92BE-E86AAD034341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640A-BCCE-4DA9-A4C7-E1ED75409057}">
  <dimension ref="A1:K27"/>
  <sheetViews>
    <sheetView tabSelected="1" workbookViewId="0">
      <selection activeCell="I2" sqref="I2"/>
    </sheetView>
  </sheetViews>
  <sheetFormatPr defaultRowHeight="15" x14ac:dyDescent="0.25"/>
  <cols>
    <col min="1" max="1" width="16" customWidth="1"/>
    <col min="2" max="2" width="10" bestFit="1" customWidth="1"/>
    <col min="3" max="3" width="12.7109375" bestFit="1" customWidth="1"/>
    <col min="4" max="4" width="12.140625" bestFit="1" customWidth="1"/>
    <col min="5" max="5" width="22.5703125" bestFit="1" customWidth="1"/>
    <col min="6" max="6" width="18" bestFit="1" customWidth="1"/>
    <col min="7" max="7" width="21.85546875" customWidth="1"/>
    <col min="8" max="8" width="15.42578125" customWidth="1"/>
    <col min="9" max="9" width="29.7109375" customWidth="1"/>
  </cols>
  <sheetData>
    <row r="1" spans="1:11" ht="16.5" customHeight="1" x14ac:dyDescent="0.25">
      <c r="A1" s="2" t="s">
        <v>0</v>
      </c>
      <c r="B1" s="3" t="s">
        <v>20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21</v>
      </c>
      <c r="H1" s="3" t="s">
        <v>22</v>
      </c>
      <c r="I1" s="3" t="s">
        <v>23</v>
      </c>
    </row>
    <row r="2" spans="1:11" x14ac:dyDescent="0.25">
      <c r="A2" s="4" t="s">
        <v>5</v>
      </c>
      <c r="B2" s="4">
        <v>95</v>
      </c>
      <c r="C2" s="4">
        <v>93</v>
      </c>
      <c r="D2" s="4">
        <v>90</v>
      </c>
      <c r="E2" s="4">
        <v>96</v>
      </c>
      <c r="F2" s="4">
        <v>99</v>
      </c>
      <c r="G2" s="5">
        <f>SUM(B2:E2)</f>
        <v>374</v>
      </c>
      <c r="H2" s="5">
        <f>AVERAGE(B2:E2)</f>
        <v>93.5</v>
      </c>
      <c r="I2" s="5" t="str">
        <f>IF(MIN(B2:E2)&gt;=50,"Pass","Fail")</f>
        <v>Pass</v>
      </c>
    </row>
    <row r="3" spans="1:11" x14ac:dyDescent="0.25">
      <c r="A3" s="4" t="s">
        <v>6</v>
      </c>
      <c r="B3" s="4">
        <v>92</v>
      </c>
      <c r="C3" s="4">
        <v>89</v>
      </c>
      <c r="D3" s="4">
        <v>95</v>
      </c>
      <c r="E3" s="4">
        <v>94</v>
      </c>
      <c r="F3" s="4">
        <v>97</v>
      </c>
      <c r="G3" s="5">
        <f t="shared" ref="G2:G16" si="0">SUM(B3:E3)</f>
        <v>370</v>
      </c>
      <c r="H3" s="5">
        <f t="shared" ref="H3:H16" si="1">AVERAGE(B3:E3)</f>
        <v>92.5</v>
      </c>
      <c r="I3" s="5" t="str">
        <f t="shared" ref="I2:I16" si="2">IF(MIN(B3:E3)&gt;=50,"Pass","Fail")</f>
        <v>Pass</v>
      </c>
    </row>
    <row r="4" spans="1:11" x14ac:dyDescent="0.25">
      <c r="A4" s="4" t="s">
        <v>7</v>
      </c>
      <c r="B4" s="4">
        <v>88</v>
      </c>
      <c r="C4" s="4">
        <v>84</v>
      </c>
      <c r="D4" s="4">
        <v>91</v>
      </c>
      <c r="E4" s="4">
        <v>87</v>
      </c>
      <c r="F4" s="4">
        <v>94</v>
      </c>
      <c r="G4" s="5">
        <f t="shared" si="0"/>
        <v>350</v>
      </c>
      <c r="H4" s="5">
        <f t="shared" si="1"/>
        <v>87.5</v>
      </c>
      <c r="I4" s="5" t="str">
        <f t="shared" si="2"/>
        <v>Pass</v>
      </c>
    </row>
    <row r="5" spans="1:11" x14ac:dyDescent="0.25">
      <c r="A5" s="4" t="s">
        <v>8</v>
      </c>
      <c r="B5" s="4">
        <v>85</v>
      </c>
      <c r="C5" s="4">
        <v>78</v>
      </c>
      <c r="D5" s="4">
        <v>82</v>
      </c>
      <c r="E5" s="4">
        <v>90</v>
      </c>
      <c r="F5" s="4">
        <v>92</v>
      </c>
      <c r="G5" s="5">
        <f t="shared" si="0"/>
        <v>335</v>
      </c>
      <c r="H5" s="5">
        <f t="shared" si="1"/>
        <v>83.75</v>
      </c>
      <c r="I5" s="5" t="str">
        <f t="shared" si="2"/>
        <v>Pass</v>
      </c>
    </row>
    <row r="6" spans="1:11" x14ac:dyDescent="0.25">
      <c r="A6" s="4" t="s">
        <v>9</v>
      </c>
      <c r="B6" s="4">
        <v>82</v>
      </c>
      <c r="C6" s="4">
        <v>86</v>
      </c>
      <c r="D6" s="4">
        <v>80</v>
      </c>
      <c r="E6" s="4">
        <v>85</v>
      </c>
      <c r="F6" s="4">
        <v>91</v>
      </c>
      <c r="G6" s="5">
        <f t="shared" si="0"/>
        <v>333</v>
      </c>
      <c r="H6" s="5">
        <f t="shared" si="1"/>
        <v>83.25</v>
      </c>
      <c r="I6" s="5" t="str">
        <f t="shared" si="2"/>
        <v>Pass</v>
      </c>
    </row>
    <row r="7" spans="1:11" x14ac:dyDescent="0.25">
      <c r="A7" s="4" t="s">
        <v>10</v>
      </c>
      <c r="B7" s="4">
        <v>76</v>
      </c>
      <c r="C7" s="4">
        <v>79</v>
      </c>
      <c r="D7" s="4">
        <v>73</v>
      </c>
      <c r="E7" s="4">
        <v>80</v>
      </c>
      <c r="F7" s="4">
        <v>86</v>
      </c>
      <c r="G7" s="5">
        <f t="shared" si="0"/>
        <v>308</v>
      </c>
      <c r="H7" s="5">
        <f t="shared" si="1"/>
        <v>77</v>
      </c>
      <c r="I7" s="5" t="str">
        <f t="shared" si="2"/>
        <v>Pass</v>
      </c>
    </row>
    <row r="8" spans="1:11" x14ac:dyDescent="0.25">
      <c r="A8" s="4" t="s">
        <v>11</v>
      </c>
      <c r="B8" s="4">
        <v>72</v>
      </c>
      <c r="C8" s="4">
        <v>81</v>
      </c>
      <c r="D8" s="4">
        <v>75</v>
      </c>
      <c r="E8" s="4">
        <v>79</v>
      </c>
      <c r="F8" s="4">
        <v>88</v>
      </c>
      <c r="G8" s="5">
        <f t="shared" si="0"/>
        <v>307</v>
      </c>
      <c r="H8" s="5">
        <f t="shared" si="1"/>
        <v>76.75</v>
      </c>
      <c r="I8" s="5" t="str">
        <f t="shared" si="2"/>
        <v>Pass</v>
      </c>
    </row>
    <row r="9" spans="1:11" x14ac:dyDescent="0.25">
      <c r="A9" s="4" t="s">
        <v>12</v>
      </c>
      <c r="B9" s="4">
        <v>74</v>
      </c>
      <c r="C9" s="4">
        <v>77</v>
      </c>
      <c r="D9" s="4">
        <v>70</v>
      </c>
      <c r="E9" s="4">
        <v>73</v>
      </c>
      <c r="F9" s="4">
        <v>84</v>
      </c>
      <c r="G9" s="5">
        <f t="shared" si="0"/>
        <v>294</v>
      </c>
      <c r="H9" s="5">
        <f t="shared" si="1"/>
        <v>73.5</v>
      </c>
      <c r="I9" s="5" t="str">
        <f t="shared" si="2"/>
        <v>Pass</v>
      </c>
    </row>
    <row r="10" spans="1:11" x14ac:dyDescent="0.25">
      <c r="A10" s="4" t="s">
        <v>13</v>
      </c>
      <c r="B10" s="4">
        <v>65</v>
      </c>
      <c r="C10" s="4">
        <v>70</v>
      </c>
      <c r="D10" s="4">
        <v>68</v>
      </c>
      <c r="E10" s="4">
        <v>72</v>
      </c>
      <c r="F10" s="4">
        <v>80</v>
      </c>
      <c r="G10" s="5">
        <f t="shared" si="0"/>
        <v>275</v>
      </c>
      <c r="H10" s="5">
        <f t="shared" si="1"/>
        <v>68.75</v>
      </c>
      <c r="I10" s="5" t="str">
        <f t="shared" si="2"/>
        <v>Pass</v>
      </c>
    </row>
    <row r="11" spans="1:11" x14ac:dyDescent="0.25">
      <c r="A11" s="4" t="s">
        <v>14</v>
      </c>
      <c r="B11" s="4">
        <v>68</v>
      </c>
      <c r="C11" s="4">
        <v>72</v>
      </c>
      <c r="D11" s="4">
        <v>65</v>
      </c>
      <c r="E11" s="4">
        <v>70</v>
      </c>
      <c r="F11" s="4">
        <v>79</v>
      </c>
      <c r="G11" s="5">
        <f t="shared" si="0"/>
        <v>275</v>
      </c>
      <c r="H11" s="5">
        <f t="shared" si="1"/>
        <v>68.75</v>
      </c>
      <c r="I11" s="5" t="str">
        <f t="shared" si="2"/>
        <v>Pass</v>
      </c>
    </row>
    <row r="12" spans="1:11" x14ac:dyDescent="0.25">
      <c r="A12" s="4" t="s">
        <v>15</v>
      </c>
      <c r="B12" s="4">
        <v>69</v>
      </c>
      <c r="C12" s="4">
        <v>64</v>
      </c>
      <c r="D12" s="4">
        <v>71</v>
      </c>
      <c r="E12" s="4">
        <v>67</v>
      </c>
      <c r="F12" s="4">
        <v>78</v>
      </c>
      <c r="G12" s="5">
        <f t="shared" si="0"/>
        <v>271</v>
      </c>
      <c r="H12" s="5">
        <f t="shared" si="1"/>
        <v>67.75</v>
      </c>
      <c r="I12" s="5" t="str">
        <f t="shared" si="2"/>
        <v>Pass</v>
      </c>
    </row>
    <row r="13" spans="1:11" x14ac:dyDescent="0.25">
      <c r="A13" s="4" t="s">
        <v>16</v>
      </c>
      <c r="B13" s="4">
        <v>55</v>
      </c>
      <c r="C13" s="4">
        <v>62</v>
      </c>
      <c r="D13" s="4">
        <v>58</v>
      </c>
      <c r="E13" s="4">
        <v>60</v>
      </c>
      <c r="F13" s="4">
        <v>75</v>
      </c>
      <c r="G13" s="5">
        <f t="shared" si="0"/>
        <v>235</v>
      </c>
      <c r="H13" s="5">
        <f t="shared" si="1"/>
        <v>58.75</v>
      </c>
      <c r="I13" s="5" t="str">
        <f t="shared" si="2"/>
        <v>Pass</v>
      </c>
    </row>
    <row r="14" spans="1:11" x14ac:dyDescent="0.25">
      <c r="A14" s="4" t="s">
        <v>17</v>
      </c>
      <c r="B14" s="4">
        <v>58</v>
      </c>
      <c r="C14" s="4">
        <v>55</v>
      </c>
      <c r="D14" s="4">
        <v>52</v>
      </c>
      <c r="E14" s="4">
        <v>45</v>
      </c>
      <c r="F14" s="4">
        <v>72</v>
      </c>
      <c r="G14" s="5">
        <f t="shared" si="0"/>
        <v>210</v>
      </c>
      <c r="H14" s="5">
        <f t="shared" si="1"/>
        <v>52.5</v>
      </c>
      <c r="I14" s="5" t="str">
        <f t="shared" si="2"/>
        <v>Fail</v>
      </c>
    </row>
    <row r="15" spans="1:11" x14ac:dyDescent="0.25">
      <c r="A15" s="4" t="s">
        <v>18</v>
      </c>
      <c r="B15" s="4">
        <v>45</v>
      </c>
      <c r="C15" s="4">
        <v>52</v>
      </c>
      <c r="D15" s="4">
        <v>48</v>
      </c>
      <c r="E15" s="4">
        <v>50</v>
      </c>
      <c r="F15" s="4">
        <v>68</v>
      </c>
      <c r="G15" s="5">
        <f t="shared" si="0"/>
        <v>195</v>
      </c>
      <c r="H15" s="5">
        <f t="shared" si="1"/>
        <v>48.75</v>
      </c>
      <c r="I15" s="5" t="str">
        <f t="shared" si="2"/>
        <v>Fail</v>
      </c>
      <c r="K15" s="1"/>
    </row>
    <row r="16" spans="1:11" x14ac:dyDescent="0.25">
      <c r="A16" s="4" t="s">
        <v>19</v>
      </c>
      <c r="B16" s="4">
        <v>40</v>
      </c>
      <c r="C16" s="4">
        <v>48</v>
      </c>
      <c r="D16" s="4">
        <v>45</v>
      </c>
      <c r="E16" s="4">
        <v>42</v>
      </c>
      <c r="F16" s="4">
        <v>65</v>
      </c>
      <c r="G16" s="5">
        <f t="shared" si="0"/>
        <v>175</v>
      </c>
      <c r="H16" s="5">
        <f t="shared" si="1"/>
        <v>43.75</v>
      </c>
      <c r="I16" s="5" t="str">
        <f t="shared" si="2"/>
        <v>Fail</v>
      </c>
    </row>
    <row r="23" spans="10:11" x14ac:dyDescent="0.25">
      <c r="K23" s="1"/>
    </row>
    <row r="27" spans="10:11" x14ac:dyDescent="0.25">
      <c r="J27" s="1"/>
    </row>
  </sheetData>
  <conditionalFormatting sqref="H2:H16">
    <cfRule type="cellIs" dxfId="7" priority="2" operator="greaterThan">
      <formula>75</formula>
    </cfRule>
  </conditionalFormatting>
  <conditionalFormatting sqref="I2:I16">
    <cfRule type="containsText" dxfId="6" priority="1" operator="containsText" text="Fail">
      <formula>NOT(ISERROR(SEARCH("Fail",I2)))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1F70-AC60-4C0B-9026-37E77FD77A1E}">
  <dimension ref="A1:F5"/>
  <sheetViews>
    <sheetView workbookViewId="0">
      <selection sqref="A1:H22"/>
    </sheetView>
  </sheetViews>
  <sheetFormatPr defaultRowHeight="15" x14ac:dyDescent="0.25"/>
  <cols>
    <col min="1" max="1" width="13.28515625" bestFit="1" customWidth="1"/>
  </cols>
  <sheetData>
    <row r="1" spans="1:6" ht="26.25" x14ac:dyDescent="0.4">
      <c r="D1" s="6" t="s">
        <v>27</v>
      </c>
      <c r="E1" s="6"/>
      <c r="F1" s="6"/>
    </row>
    <row r="2" spans="1:6" x14ac:dyDescent="0.25">
      <c r="A2" s="7" t="s">
        <v>28</v>
      </c>
      <c r="B2" s="8" t="s">
        <v>29</v>
      </c>
    </row>
    <row r="3" spans="1:6" x14ac:dyDescent="0.25">
      <c r="A3" s="9" t="s">
        <v>24</v>
      </c>
      <c r="B3" s="10">
        <f>MAX([1]Sheet1!G2:G16)</f>
        <v>374</v>
      </c>
    </row>
    <row r="4" spans="1:6" x14ac:dyDescent="0.25">
      <c r="A4" s="9" t="s">
        <v>25</v>
      </c>
      <c r="B4" s="10">
        <f>MIN([2]Sheet1!G2:G16)</f>
        <v>175</v>
      </c>
    </row>
    <row r="5" spans="1:6" x14ac:dyDescent="0.25">
      <c r="A5" s="11" t="s">
        <v>26</v>
      </c>
      <c r="B5" s="12">
        <f>AVERAGE([2]Sheet1!H2:H16)</f>
        <v>72.183333333333337</v>
      </c>
    </row>
  </sheetData>
  <mergeCells count="1">
    <mergeCell ref="D1:F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</dc:creator>
  <cp:lastModifiedBy>Supriya</cp:lastModifiedBy>
  <dcterms:created xsi:type="dcterms:W3CDTF">2026-09-29T06:02:35Z</dcterms:created>
  <dcterms:modified xsi:type="dcterms:W3CDTF">2026-09-30T10:37:30Z</dcterms:modified>
</cp:coreProperties>
</file>