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priya\Desktop\"/>
    </mc:Choice>
  </mc:AlternateContent>
  <xr:revisionPtr revIDLastSave="0" documentId="13_ncr:1_{2006F00D-3049-4A7D-AA00-122AA9BECCB9}" xr6:coauthVersionLast="47" xr6:coauthVersionMax="47" xr10:uidLastSave="{00000000-0000-0000-0000-000000000000}"/>
  <bookViews>
    <workbookView xWindow="-120" yWindow="-120" windowWidth="24240" windowHeight="13020" xr2:uid="{5E54BD3B-57E1-43C7-930B-D40F77A59CEA}"/>
  </bookViews>
  <sheets>
    <sheet name="Sheet1" sheetId="1" r:id="rId1"/>
    <sheet name="Sheet4" sheetId="4" r:id="rId2"/>
  </sheets>
  <calcPr calcId="191029"/>
  <pivotCaches>
    <pivotCache cacheId="4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2" i="1"/>
  <c r="O2" i="1"/>
  <c r="O3" i="1"/>
  <c r="O4" i="1"/>
  <c r="O5" i="1"/>
  <c r="O6" i="1"/>
  <c r="N4" i="1"/>
  <c r="N5" i="1"/>
  <c r="J3" i="1"/>
  <c r="M3" i="1" s="1"/>
  <c r="J4" i="1"/>
  <c r="M4" i="1" s="1"/>
  <c r="J5" i="1"/>
  <c r="M5" i="1" s="1"/>
  <c r="J6" i="1"/>
  <c r="N6" i="1" s="1"/>
  <c r="J7" i="1"/>
  <c r="J8" i="1"/>
  <c r="N3" i="1" s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2" i="1"/>
  <c r="M2" i="1" s="1"/>
  <c r="N2" i="1" l="1"/>
  <c r="M6" i="1"/>
  <c r="J35" i="1"/>
  <c r="J34" i="1" s="1"/>
  <c r="J37" i="1"/>
  <c r="J36" i="1" s="1"/>
</calcChain>
</file>

<file path=xl/sharedStrings.xml><?xml version="1.0" encoding="utf-8"?>
<sst xmlns="http://schemas.openxmlformats.org/spreadsheetml/2006/main" count="184" uniqueCount="102">
  <si>
    <t>Employee ID</t>
  </si>
  <si>
    <t>Employee Name</t>
  </si>
  <si>
    <t>Department</t>
  </si>
  <si>
    <t>Designation</t>
  </si>
  <si>
    <t>City</t>
  </si>
  <si>
    <t>Basic Salary</t>
  </si>
  <si>
    <t>HRA</t>
  </si>
  <si>
    <t>Allowance</t>
  </si>
  <si>
    <t>Deduction</t>
  </si>
  <si>
    <t>Net Salary</t>
  </si>
  <si>
    <t>Experience (Years)</t>
  </si>
  <si>
    <t>E001</t>
  </si>
  <si>
    <t>Rahul Sharma</t>
  </si>
  <si>
    <t>HR</t>
  </si>
  <si>
    <t>Manager</t>
  </si>
  <si>
    <t>Delhi</t>
  </si>
  <si>
    <t>E002</t>
  </si>
  <si>
    <t>Priya Singh</t>
  </si>
  <si>
    <t>IT</t>
  </si>
  <si>
    <t>Developer</t>
  </si>
  <si>
    <t>Lucknow</t>
  </si>
  <si>
    <t>E003</t>
  </si>
  <si>
    <t>Amit Kumar</t>
  </si>
  <si>
    <t>Sales</t>
  </si>
  <si>
    <t>Executive</t>
  </si>
  <si>
    <t>Kanpur</t>
  </si>
  <si>
    <t>E004</t>
  </si>
  <si>
    <t>Neha Verma</t>
  </si>
  <si>
    <t>Finance</t>
  </si>
  <si>
    <t>Accountant</t>
  </si>
  <si>
    <t>Prayagraj</t>
  </si>
  <si>
    <t>E005</t>
  </si>
  <si>
    <t>Rohit Gupta</t>
  </si>
  <si>
    <t>Noida</t>
  </si>
  <si>
    <t>E006</t>
  </si>
  <si>
    <t>Pooja Yadav</t>
  </si>
  <si>
    <t>Varanasi</t>
  </si>
  <si>
    <t>E007</t>
  </si>
  <si>
    <t>Arjun Singh</t>
  </si>
  <si>
    <t>E008</t>
  </si>
  <si>
    <t>Anjali Mishra</t>
  </si>
  <si>
    <t>E009</t>
  </si>
  <si>
    <t>Vikas Tiwari</t>
  </si>
  <si>
    <t>Tester</t>
  </si>
  <si>
    <t>E010</t>
  </si>
  <si>
    <t>Simran Khan</t>
  </si>
  <si>
    <t>Recruiter</t>
  </si>
  <si>
    <t>E011</t>
  </si>
  <si>
    <t>Manish Patel</t>
  </si>
  <si>
    <t>E012</t>
  </si>
  <si>
    <t>Riya Gupta</t>
  </si>
  <si>
    <t>E013</t>
  </si>
  <si>
    <t>Saurabh Singh</t>
  </si>
  <si>
    <t>E014</t>
  </si>
  <si>
    <t>Kajal Sharma</t>
  </si>
  <si>
    <t>E015</t>
  </si>
  <si>
    <t>Deepak Yadav</t>
  </si>
  <si>
    <t>Sales Officer</t>
  </si>
  <si>
    <t>E016</t>
  </si>
  <si>
    <t>Komal Verma</t>
  </si>
  <si>
    <t>E017</t>
  </si>
  <si>
    <t>Akash Kumar</t>
  </si>
  <si>
    <t>E018</t>
  </si>
  <si>
    <t>Shivani Singh</t>
  </si>
  <si>
    <t>E019</t>
  </si>
  <si>
    <t>Nitin Gupta</t>
  </si>
  <si>
    <t>E020</t>
  </si>
  <si>
    <t>Swati Mishra</t>
  </si>
  <si>
    <t>E021</t>
  </si>
  <si>
    <t>Karan Patel</t>
  </si>
  <si>
    <t>E022</t>
  </si>
  <si>
    <t>Monika Yadav</t>
  </si>
  <si>
    <t>E023</t>
  </si>
  <si>
    <t>Abhishek Verma</t>
  </si>
  <si>
    <t>E024</t>
  </si>
  <si>
    <t>Tanya Singh</t>
  </si>
  <si>
    <t>E025</t>
  </si>
  <si>
    <t>Rajesh Kumar</t>
  </si>
  <si>
    <t>E026</t>
  </si>
  <si>
    <t>Shreya Gupta</t>
  </si>
  <si>
    <t>E027</t>
  </si>
  <si>
    <t>Mohit Sharma</t>
  </si>
  <si>
    <t>E028</t>
  </si>
  <si>
    <t>Nisha Patel</t>
  </si>
  <si>
    <t>E029</t>
  </si>
  <si>
    <t>Varun Singh</t>
  </si>
  <si>
    <t>E030</t>
  </si>
  <si>
    <t>Ayesha Khan</t>
  </si>
  <si>
    <t>Marketing</t>
  </si>
  <si>
    <t>Average Salary</t>
  </si>
  <si>
    <t>Lowest Salary</t>
  </si>
  <si>
    <t>Highest Salary</t>
  </si>
  <si>
    <t>Salary Expenditure</t>
  </si>
  <si>
    <t>Employee Count</t>
  </si>
  <si>
    <t>Department + Experience Count</t>
  </si>
  <si>
    <t>Highest Salary Employee</t>
  </si>
  <si>
    <t>Lowest Salary Employee</t>
  </si>
  <si>
    <t>Row Labels</t>
  </si>
  <si>
    <t>Grand Total</t>
  </si>
  <si>
    <t>Average of Net Salary</t>
  </si>
  <si>
    <t>Count of Employee ID</t>
  </si>
  <si>
    <t>Department2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</si>
</sst>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0D0D0D"/>
      <name val="Segoe U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0" fillId="0" borderId="1" xfId="0" applyBorder="1"/>
    <xf numFmtId="2" fontId="0" fillId="0" borderId="1" xfId="0" applyNumberFormat="1" applyBorder="1"/>
    <xf numFmtId="0" fontId="0" fillId="0" borderId="2" xfId="0" applyBorder="1"/>
    <xf numFmtId="2" fontId="0" fillId="0" borderId="3" xfId="0" applyNumberFormat="1" applyBorder="1"/>
    <xf numFmtId="0" fontId="0" fillId="0" borderId="4" xfId="0" applyBorder="1"/>
    <xf numFmtId="2" fontId="0" fillId="0" borderId="4" xfId="0" applyNumberFormat="1" applyBorder="1"/>
    <xf numFmtId="0" fontId="1" fillId="0" borderId="5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3" xfId="0" applyBorder="1"/>
    <xf numFmtId="0" fontId="0" fillId="0" borderId="2" xfId="0" applyBorder="1" applyAlignment="1">
      <alignment horizontal="center"/>
    </xf>
    <xf numFmtId="0" fontId="1" fillId="0" borderId="6" xfId="0" applyFont="1" applyBorder="1"/>
    <xf numFmtId="0" fontId="1" fillId="0" borderId="4" xfId="0" applyFont="1" applyBorder="1"/>
    <xf numFmtId="0" fontId="3" fillId="0" borderId="4" xfId="0" applyFont="1" applyBorder="1"/>
    <xf numFmtId="0" fontId="3" fillId="0" borderId="5" xfId="0" applyFont="1" applyBorder="1" applyAlignment="1">
      <alignment vertical="center"/>
    </xf>
    <xf numFmtId="0" fontId="0" fillId="0" borderId="7" xfId="0" applyBorder="1"/>
    <xf numFmtId="0" fontId="0" fillId="0" borderId="8" xfId="0" applyBorder="1"/>
    <xf numFmtId="2" fontId="0" fillId="0" borderId="8" xfId="0" applyNumberFormat="1" applyBorder="1"/>
    <xf numFmtId="0" fontId="0" fillId="0" borderId="9" xfId="0" applyBorder="1"/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[Question2.xlsx]Sheet4!PivotTable7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/>
              <a:t>Department-wise Salary Expenditure</a:t>
            </a:r>
          </a:p>
        </c:rich>
      </c:tx>
      <c:layout>
        <c:manualLayout>
          <c:xMode val="edge"/>
          <c:yMode val="edge"/>
          <c:x val="0.24655067888723481"/>
          <c:y val="8.84616330442974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Sheet4!$E$4</c:f>
              <c:strCache>
                <c:ptCount val="1"/>
                <c:pt idx="0">
                  <c:v>Count of Employee ID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Sheet4!$D$5:$D$10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Sheet4!$E$5:$E$10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8A-4584-A906-1914E99D7A40}"/>
            </c:ext>
          </c:extLst>
        </c:ser>
        <c:ser>
          <c:idx val="1"/>
          <c:order val="1"/>
          <c:tx>
            <c:strRef>
              <c:f>Sheet4!$F$4</c:f>
              <c:strCache>
                <c:ptCount val="1"/>
                <c:pt idx="0">
                  <c:v>Average of Net Salary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Sheet4!$D$5:$D$10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Sheet4!$F$5:$F$10</c:f>
              <c:numCache>
                <c:formatCode>General</c:formatCode>
                <c:ptCount val="5"/>
                <c:pt idx="0">
                  <c:v>58083.333333333336</c:v>
                </c:pt>
                <c:pt idx="1">
                  <c:v>48033.333333333336</c:v>
                </c:pt>
                <c:pt idx="2">
                  <c:v>53650</c:v>
                </c:pt>
                <c:pt idx="3">
                  <c:v>53766.666666666664</c:v>
                </c:pt>
                <c:pt idx="4">
                  <c:v>55216.666666666664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8A-4584-A906-1914E99D7A4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146746080"/>
        <c:axId val="1962308432"/>
      </c:barChart>
      <c:catAx>
        <c:axId val="2146746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308432"/>
        <c:crosses val="autoZero"/>
        <c:auto val="1"/>
        <c:lblAlgn val="ctr"/>
        <c:lblOffset val="100"/>
        <c:noMultiLvlLbl val="0"/>
      </c:catAx>
      <c:valAx>
        <c:axId val="19623084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74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10</xdr:row>
      <xdr:rowOff>157161</xdr:rowOff>
    </xdr:from>
    <xdr:to>
      <xdr:col>7</xdr:col>
      <xdr:colOff>171450</xdr:colOff>
      <xdr:row>30</xdr:row>
      <xdr:rowOff>47624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79B18C-FB6D-C920-B028-6BC6D4A357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priya" refreshedDate="46283.448231134258" createdVersion="8" refreshedVersion="8" minRefreshableVersion="3" recordCount="30" xr:uid="{8B5E2F4C-21BB-405A-8EBA-560C9DCEE5F0}">
  <cacheSource type="worksheet">
    <worksheetSource ref="A1:K31" sheet="Sheet1"/>
  </cacheSource>
  <cacheFields count="11">
    <cacheField name="Employee ID" numFmtId="0">
      <sharedItems count="30">
        <s v="E001"/>
        <s v="E002"/>
        <s v="E003"/>
        <s v="E004"/>
        <s v="E005"/>
        <s v="E006"/>
        <s v="E007"/>
        <s v="E008"/>
        <s v="E009"/>
        <s v="E010"/>
        <s v="E011"/>
        <s v="E012"/>
        <s v="E013"/>
        <s v="E014"/>
        <s v="E015"/>
        <s v="E016"/>
        <s v="E017"/>
        <s v="E018"/>
        <s v="E019"/>
        <s v="E020"/>
        <s v="E021"/>
        <s v="E022"/>
        <s v="E023"/>
        <s v="E024"/>
        <s v="E025"/>
        <s v="E026"/>
        <s v="E027"/>
        <s v="E028"/>
        <s v="E029"/>
        <s v="E030"/>
      </sharedItems>
    </cacheField>
    <cacheField name="Employee Name" numFmtId="0">
      <sharedItems count="30">
        <s v="Rahul Sharma"/>
        <s v="Priya Singh"/>
        <s v="Amit Kumar"/>
        <s v="Neha Verma"/>
        <s v="Rohit Gupta"/>
        <s v="Pooja Yadav"/>
        <s v="Arjun Singh"/>
        <s v="Anjali Mishra"/>
        <s v="Vikas Tiwari"/>
        <s v="Simran Khan"/>
        <s v="Manish Patel"/>
        <s v="Riya Gupta"/>
        <s v="Saurabh Singh"/>
        <s v="Kajal Sharma"/>
        <s v="Deepak Yadav"/>
        <s v="Komal Verma"/>
        <s v="Akash Kumar"/>
        <s v="Shivani Singh"/>
        <s v="Nitin Gupta"/>
        <s v="Swati Mishra"/>
        <s v="Karan Patel"/>
        <s v="Monika Yadav"/>
        <s v="Abhishek Verma"/>
        <s v="Tanya Singh"/>
        <s v="Rajesh Kumar"/>
        <s v="Shreya Gupta"/>
        <s v="Mohit Sharma"/>
        <s v="Nisha Patel"/>
        <s v="Varun Singh"/>
        <s v="Ayesha Khan"/>
      </sharedItems>
    </cacheField>
    <cacheField name="Department" numFmtId="0">
      <sharedItems count="5">
        <s v="HR"/>
        <s v="IT"/>
        <s v="Sales"/>
        <s v="Finance"/>
        <s v="Marketing"/>
      </sharedItems>
    </cacheField>
    <cacheField name="Designation" numFmtId="0">
      <sharedItems count="7">
        <s v="Manager"/>
        <s v="Developer"/>
        <s v="Executive"/>
        <s v="Accountant"/>
        <s v="Tester"/>
        <s v="Recruiter"/>
        <s v="Sales Officer"/>
      </sharedItems>
    </cacheField>
    <cacheField name="City" numFmtId="0">
      <sharedItems/>
    </cacheField>
    <cacheField name="Basic Salary" numFmtId="0">
      <sharedItems containsSemiMixedTypes="0" containsString="0" containsNumber="1" containsInteger="1" minValue="30000" maxValue="62000"/>
    </cacheField>
    <cacheField name="HRA" numFmtId="0">
      <sharedItems containsSemiMixedTypes="0" containsString="0" containsNumber="1" containsInteger="1" minValue="6000" maxValue="12400"/>
    </cacheField>
    <cacheField name="Allowance" numFmtId="0">
      <sharedItems containsSemiMixedTypes="0" containsString="0" containsNumber="1" containsInteger="1" minValue="3500" maxValue="8000"/>
    </cacheField>
    <cacheField name="Deduction" numFmtId="0">
      <sharedItems containsSemiMixedTypes="0" containsString="0" containsNumber="1" containsInteger="1" minValue="1700" maxValue="6000"/>
    </cacheField>
    <cacheField name="Net Salary" numFmtId="0">
      <sharedItems containsSemiMixedTypes="0" containsString="0" containsNumber="1" containsInteger="1" minValue="38000" maxValue="76400" count="30">
        <n v="56000"/>
        <n v="62000"/>
        <n v="40400"/>
        <n v="50500"/>
        <n v="68000"/>
        <n v="38000"/>
        <n v="60100"/>
        <n v="64900"/>
        <n v="47600"/>
        <n v="44000"/>
        <n v="41300"/>
        <n v="52400"/>
        <n v="74000"/>
        <n v="39400"/>
        <n v="46700"/>
        <n v="45200"/>
        <n v="58900"/>
        <n v="57700"/>
        <n v="62500"/>
        <n v="48800"/>
        <n v="66100"/>
        <n v="43000"/>
        <n v="39000"/>
        <n v="72100"/>
        <n v="51400"/>
        <n v="41600"/>
        <n v="45500"/>
        <n v="55300"/>
        <n v="76400"/>
        <n v="63700"/>
      </sharedItems>
    </cacheField>
    <cacheField name="Experience (Years)" numFmtId="0">
      <sharedItems containsSemiMixedTypes="0" containsString="0" containsNumber="1" containsInteger="1" minValue="2" maxValue="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x v="0"/>
    <x v="0"/>
    <s v="Delhi"/>
    <n v="45000"/>
    <n v="9000"/>
    <n v="5000"/>
    <n v="3000"/>
    <x v="0"/>
    <n v="8"/>
  </r>
  <r>
    <x v="1"/>
    <x v="1"/>
    <x v="1"/>
    <x v="1"/>
    <s v="Lucknow"/>
    <n v="50000"/>
    <n v="10000"/>
    <n v="6000"/>
    <n v="4000"/>
    <x v="1"/>
    <n v="5"/>
  </r>
  <r>
    <x v="2"/>
    <x v="2"/>
    <x v="2"/>
    <x v="2"/>
    <s v="Kanpur"/>
    <n v="32000"/>
    <n v="6400"/>
    <n v="4000"/>
    <n v="2000"/>
    <x v="2"/>
    <n v="3"/>
  </r>
  <r>
    <x v="3"/>
    <x v="3"/>
    <x v="3"/>
    <x v="3"/>
    <s v="Prayagraj"/>
    <n v="40000"/>
    <n v="8000"/>
    <n v="5000"/>
    <n v="2500"/>
    <x v="3"/>
    <n v="6"/>
  </r>
  <r>
    <x v="4"/>
    <x v="4"/>
    <x v="4"/>
    <x v="1"/>
    <s v="Noida"/>
    <n v="55000"/>
    <n v="11000"/>
    <n v="7000"/>
    <n v="5000"/>
    <x v="4"/>
    <n v="7"/>
  </r>
  <r>
    <x v="5"/>
    <x v="5"/>
    <x v="0"/>
    <x v="2"/>
    <s v="Varanasi"/>
    <n v="30000"/>
    <n v="6000"/>
    <n v="4000"/>
    <n v="2000"/>
    <x v="5"/>
    <n v="2"/>
  </r>
  <r>
    <x v="6"/>
    <x v="6"/>
    <x v="1"/>
    <x v="0"/>
    <s v="Delhi"/>
    <n v="48000"/>
    <n v="9600"/>
    <n v="6000"/>
    <n v="3500"/>
    <x v="6"/>
    <n v="9"/>
  </r>
  <r>
    <x v="7"/>
    <x v="7"/>
    <x v="2"/>
    <x v="0"/>
    <s v="Lucknow"/>
    <n v="52000"/>
    <n v="10400"/>
    <n v="7000"/>
    <n v="4500"/>
    <x v="7"/>
    <n v="10"/>
  </r>
  <r>
    <x v="8"/>
    <x v="8"/>
    <x v="3"/>
    <x v="4"/>
    <s v="Kanpur"/>
    <n v="38000"/>
    <n v="7600"/>
    <n v="4500"/>
    <n v="2500"/>
    <x v="8"/>
    <n v="4"/>
  </r>
  <r>
    <x v="9"/>
    <x v="9"/>
    <x v="4"/>
    <x v="5"/>
    <s v="Noida"/>
    <n v="35000"/>
    <n v="7000"/>
    <n v="4000"/>
    <n v="2000"/>
    <x v="9"/>
    <n v="5"/>
  </r>
  <r>
    <x v="10"/>
    <x v="10"/>
    <x v="0"/>
    <x v="2"/>
    <s v="Prayagraj"/>
    <n v="33000"/>
    <n v="6600"/>
    <n v="3500"/>
    <n v="1800"/>
    <x v="10"/>
    <n v="3"/>
  </r>
  <r>
    <x v="11"/>
    <x v="11"/>
    <x v="1"/>
    <x v="3"/>
    <s v="Delhi"/>
    <n v="42000"/>
    <n v="8400"/>
    <n v="5000"/>
    <n v="3000"/>
    <x v="11"/>
    <n v="7"/>
  </r>
  <r>
    <x v="12"/>
    <x v="12"/>
    <x v="2"/>
    <x v="0"/>
    <s v="Lucknow"/>
    <n v="60000"/>
    <n v="12000"/>
    <n v="8000"/>
    <n v="6000"/>
    <x v="12"/>
    <n v="12"/>
  </r>
  <r>
    <x v="13"/>
    <x v="13"/>
    <x v="3"/>
    <x v="2"/>
    <s v="Kanpur"/>
    <n v="31000"/>
    <n v="6200"/>
    <n v="4000"/>
    <n v="1800"/>
    <x v="13"/>
    <n v="2"/>
  </r>
  <r>
    <x v="14"/>
    <x v="14"/>
    <x v="4"/>
    <x v="6"/>
    <s v="Varanasi"/>
    <n v="37000"/>
    <n v="7400"/>
    <n v="4500"/>
    <n v="2200"/>
    <x v="14"/>
    <n v="4"/>
  </r>
  <r>
    <x v="15"/>
    <x v="15"/>
    <x v="0"/>
    <x v="2"/>
    <s v="Noida"/>
    <n v="36000"/>
    <n v="7200"/>
    <n v="4000"/>
    <n v="2000"/>
    <x v="15"/>
    <n v="3"/>
  </r>
  <r>
    <x v="16"/>
    <x v="16"/>
    <x v="1"/>
    <x v="1"/>
    <s v="Prayagraj"/>
    <n v="47000"/>
    <n v="9400"/>
    <n v="6000"/>
    <n v="3500"/>
    <x v="16"/>
    <n v="6"/>
  </r>
  <r>
    <x v="17"/>
    <x v="17"/>
    <x v="2"/>
    <x v="0"/>
    <s v="Delhi"/>
    <n v="46000"/>
    <n v="9200"/>
    <n v="5500"/>
    <n v="3000"/>
    <x v="17"/>
    <n v="8"/>
  </r>
  <r>
    <x v="18"/>
    <x v="18"/>
    <x v="3"/>
    <x v="0"/>
    <s v="Lucknow"/>
    <n v="50000"/>
    <n v="10000"/>
    <n v="6500"/>
    <n v="4000"/>
    <x v="18"/>
    <n v="10"/>
  </r>
  <r>
    <x v="19"/>
    <x v="19"/>
    <x v="4"/>
    <x v="3"/>
    <s v="Kanpur"/>
    <n v="39000"/>
    <n v="7800"/>
    <n v="4500"/>
    <n v="2500"/>
    <x v="19"/>
    <n v="5"/>
  </r>
  <r>
    <x v="20"/>
    <x v="20"/>
    <x v="0"/>
    <x v="1"/>
    <s v="Varanasi"/>
    <n v="53000"/>
    <n v="10600"/>
    <n v="7000"/>
    <n v="4500"/>
    <x v="20"/>
    <n v="7"/>
  </r>
  <r>
    <x v="21"/>
    <x v="21"/>
    <x v="1"/>
    <x v="5"/>
    <s v="Noida"/>
    <n v="34000"/>
    <n v="6800"/>
    <n v="4000"/>
    <n v="1800"/>
    <x v="21"/>
    <n v="3"/>
  </r>
  <r>
    <x v="22"/>
    <x v="22"/>
    <x v="2"/>
    <x v="2"/>
    <s v="Prayagraj"/>
    <n v="31000"/>
    <n v="6200"/>
    <n v="3500"/>
    <n v="1700"/>
    <x v="22"/>
    <n v="2"/>
  </r>
  <r>
    <x v="23"/>
    <x v="23"/>
    <x v="3"/>
    <x v="0"/>
    <s v="Delhi"/>
    <n v="58000"/>
    <n v="11600"/>
    <n v="7500"/>
    <n v="5000"/>
    <x v="23"/>
    <n v="11"/>
  </r>
  <r>
    <x v="24"/>
    <x v="24"/>
    <x v="4"/>
    <x v="4"/>
    <s v="Lucknow"/>
    <n v="41000"/>
    <n v="8200"/>
    <n v="5000"/>
    <n v="2800"/>
    <x v="24"/>
    <n v="5"/>
  </r>
  <r>
    <x v="25"/>
    <x v="25"/>
    <x v="0"/>
    <x v="2"/>
    <s v="Kanpur"/>
    <n v="33000"/>
    <n v="6600"/>
    <n v="4000"/>
    <n v="2000"/>
    <x v="25"/>
    <n v="4"/>
  </r>
  <r>
    <x v="26"/>
    <x v="26"/>
    <x v="1"/>
    <x v="6"/>
    <s v="Varanasi"/>
    <n v="36000"/>
    <n v="7200"/>
    <n v="4500"/>
    <n v="2200"/>
    <x v="26"/>
    <n v="3"/>
  </r>
  <r>
    <x v="27"/>
    <x v="27"/>
    <x v="2"/>
    <x v="3"/>
    <s v="Noida"/>
    <n v="44000"/>
    <n v="8800"/>
    <n v="5500"/>
    <n v="3000"/>
    <x v="27"/>
    <n v="6"/>
  </r>
  <r>
    <x v="28"/>
    <x v="28"/>
    <x v="3"/>
    <x v="0"/>
    <s v="Prayagraj"/>
    <n v="62000"/>
    <n v="12400"/>
    <n v="8000"/>
    <n v="6000"/>
    <x v="28"/>
    <n v="13"/>
  </r>
  <r>
    <x v="29"/>
    <x v="29"/>
    <x v="4"/>
    <x v="0"/>
    <s v="Delhi"/>
    <n v="51000"/>
    <n v="10200"/>
    <n v="6500"/>
    <n v="4000"/>
    <x v="29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9112F9-45CE-4F4D-BB31-F1E7D93F4029}" name="PivotTable7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D4:F10" firstHeaderRow="0" firstDataRow="1" firstDataCol="1"/>
  <pivotFields count="11">
    <pivotField dataField="1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>
      <items count="31">
        <item x="22"/>
        <item x="16"/>
        <item x="2"/>
        <item x="7"/>
        <item x="6"/>
        <item x="29"/>
        <item x="14"/>
        <item x="13"/>
        <item x="20"/>
        <item x="15"/>
        <item x="10"/>
        <item x="26"/>
        <item x="21"/>
        <item x="3"/>
        <item x="27"/>
        <item x="18"/>
        <item x="5"/>
        <item x="1"/>
        <item x="0"/>
        <item x="24"/>
        <item x="11"/>
        <item x="4"/>
        <item x="12"/>
        <item x="17"/>
        <item x="25"/>
        <item x="9"/>
        <item x="19"/>
        <item x="23"/>
        <item x="28"/>
        <item x="8"/>
        <item t="default"/>
      </items>
    </pivotField>
    <pivotField axis="axisRow" showAll="0">
      <items count="6">
        <item x="3"/>
        <item x="0"/>
        <item x="1"/>
        <item x="4"/>
        <item x="2"/>
        <item t="default"/>
      </items>
    </pivotField>
    <pivotField showAll="0">
      <items count="8">
        <item x="3"/>
        <item x="1"/>
        <item x="2"/>
        <item x="0"/>
        <item x="5"/>
        <item x="6"/>
        <item x="4"/>
        <item t="default"/>
      </items>
    </pivotField>
    <pivotField showAll="0"/>
    <pivotField showAll="0"/>
    <pivotField showAll="0"/>
    <pivotField showAll="0"/>
    <pivotField showAll="0"/>
    <pivotField dataField="1" showAll="0">
      <items count="31">
        <item x="5"/>
        <item x="22"/>
        <item x="13"/>
        <item x="2"/>
        <item x="10"/>
        <item x="25"/>
        <item x="21"/>
        <item x="9"/>
        <item x="15"/>
        <item x="26"/>
        <item x="14"/>
        <item x="8"/>
        <item x="19"/>
        <item x="3"/>
        <item x="24"/>
        <item x="11"/>
        <item x="27"/>
        <item x="0"/>
        <item x="17"/>
        <item x="16"/>
        <item x="6"/>
        <item x="1"/>
        <item x="18"/>
        <item x="29"/>
        <item x="7"/>
        <item x="20"/>
        <item x="4"/>
        <item x="23"/>
        <item x="12"/>
        <item x="28"/>
        <item t="default"/>
      </items>
    </pivotField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mployee ID" fld="0" subtotal="count" baseField="0" baseItem="0"/>
    <dataField name="Average of Net Salary" fld="9" subtotal="average" baseField="0" baseItem="0"/>
  </dataFields>
  <chartFormats count="2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31BC3F-E22C-4A5D-971B-F0967AACB1F4}" name="Table2" displayName="Table2" ref="A1:P31" totalsRowShown="0" headerRowBorderDxfId="17" tableBorderDxfId="18">
  <autoFilter ref="A1:P31" xr:uid="{8E31BC3F-E22C-4A5D-971B-F0967AACB1F4}"/>
  <tableColumns count="16">
    <tableColumn id="1" xr3:uid="{70A2E5A6-C940-439C-818B-BDE88D52AC03}" name="Employee ID" dataDxfId="16"/>
    <tableColumn id="2" xr3:uid="{26F84DB3-1757-4479-A708-C5446F8C1DAF}" name="Employee Name" dataDxfId="15"/>
    <tableColumn id="3" xr3:uid="{A76028FD-B477-4749-9C4B-561DF8AD22A3}" name="Department" dataDxfId="14"/>
    <tableColumn id="4" xr3:uid="{37E7856C-6E3A-4F71-BDDB-915FCC46AAAE}" name="Designation" dataDxfId="13"/>
    <tableColumn id="5" xr3:uid="{EA24DF25-BAA0-440B-B194-2A98B2516CB5}" name="City" dataDxfId="12"/>
    <tableColumn id="6" xr3:uid="{4EBDA6C5-E8A8-478F-A9F3-21D86D095D74}" name="Basic Salary" dataDxfId="11"/>
    <tableColumn id="7" xr3:uid="{DD006D3D-8C82-4A3E-B57F-02001E30C6C7}" name="HRA" dataDxfId="10"/>
    <tableColumn id="8" xr3:uid="{4F4FD96C-5870-4253-AC89-1A6DAF7C3031}" name="Allowance" dataDxfId="9"/>
    <tableColumn id="9" xr3:uid="{BAB792F7-25DA-4BD2-9B3A-2052BFFE7203}" name="Deduction" dataDxfId="8"/>
    <tableColumn id="10" xr3:uid="{FFC9E071-438D-41FA-8238-51605DEE5810}" name="Net Salary" dataDxfId="7">
      <calculatedColumnFormula>SUM(F2:H2)-I2</calculatedColumnFormula>
    </tableColumn>
    <tableColumn id="11" xr3:uid="{31D54D72-DBD0-4B23-B466-9F6AC110DF14}" name="Experience (Years)" dataDxfId="6"/>
    <tableColumn id="12" xr3:uid="{1C702E5D-979D-4A49-AFD5-E3089FFF17F0}" name="Department2" dataDxfId="5"/>
    <tableColumn id="13" xr3:uid="{0509196D-1194-4964-8F0D-C5418B0D0191}" name="Salary Expenditure" dataDxfId="4"/>
    <tableColumn id="14" xr3:uid="{2E90D4AE-8033-4FB9-A28F-76D5D12DF47B}" name="Average Salary" dataDxfId="3"/>
    <tableColumn id="15" xr3:uid="{23B5209F-31F0-43F1-949B-1CF2CF20C38C}" name="Employee Count" dataDxfId="2"/>
    <tableColumn id="16" xr3:uid="{7E78429F-92D2-4666-89A6-A4AC0CA97A66}" name="Department + Experience Count" dataDxfId="1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359CF-1F8C-4391-94DE-3FF6FB7C08ED}">
  <dimension ref="A1:T37"/>
  <sheetViews>
    <sheetView tabSelected="1" workbookViewId="0">
      <selection activeCell="L35" sqref="L35"/>
    </sheetView>
  </sheetViews>
  <sheetFormatPr defaultRowHeight="15" x14ac:dyDescent="0.25"/>
  <cols>
    <col min="1" max="1" width="14.5703125" customWidth="1"/>
    <col min="2" max="2" width="17.85546875" customWidth="1"/>
    <col min="3" max="4" width="14" customWidth="1"/>
    <col min="5" max="5" width="9.42578125" bestFit="1" customWidth="1"/>
    <col min="6" max="6" width="13.7109375" customWidth="1"/>
    <col min="7" max="7" width="7" customWidth="1"/>
    <col min="8" max="8" width="13.5703125" bestFit="1" customWidth="1"/>
    <col min="9" max="9" width="22.7109375" bestFit="1" customWidth="1"/>
    <col min="10" max="10" width="12.28515625" customWidth="1"/>
    <col min="11" max="11" width="20.140625" customWidth="1"/>
    <col min="12" max="12" width="15" customWidth="1"/>
    <col min="13" max="14" width="22.28515625" bestFit="1" customWidth="1"/>
    <col min="15" max="15" width="18.140625" customWidth="1"/>
    <col min="16" max="16" width="32.5703125" bestFit="1" customWidth="1"/>
  </cols>
  <sheetData>
    <row r="1" spans="1:20" x14ac:dyDescent="0.25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8" t="s">
        <v>10</v>
      </c>
      <c r="L1" s="15" t="s">
        <v>101</v>
      </c>
      <c r="M1" s="16" t="s">
        <v>92</v>
      </c>
      <c r="N1" s="14" t="s">
        <v>89</v>
      </c>
      <c r="O1" s="15" t="s">
        <v>93</v>
      </c>
      <c r="P1" s="17" t="s">
        <v>94</v>
      </c>
      <c r="Q1" s="1"/>
      <c r="R1" s="1"/>
      <c r="S1" s="1"/>
      <c r="T1" s="1"/>
    </row>
    <row r="2" spans="1:20" x14ac:dyDescent="0.25">
      <c r="A2" s="1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>
        <v>45000</v>
      </c>
      <c r="G2" s="2">
        <v>9000</v>
      </c>
      <c r="H2" s="2">
        <v>5000</v>
      </c>
      <c r="I2" s="2">
        <v>3000</v>
      </c>
      <c r="J2" s="2">
        <f>SUM(F2:H2)-I2</f>
        <v>56000</v>
      </c>
      <c r="K2" s="4">
        <v>8</v>
      </c>
      <c r="L2" s="2" t="s">
        <v>13</v>
      </c>
      <c r="M2" s="2">
        <f>SUMIF(C2:C31,L2,J2:J31)</f>
        <v>288200</v>
      </c>
      <c r="N2" s="5">
        <f>AVERAGEIF(C2:C31,L2,J2:J31)</f>
        <v>48033.333333333336</v>
      </c>
      <c r="O2" s="2">
        <f>COUNTIF(C2:C31,L2)</f>
        <v>6</v>
      </c>
      <c r="P2" s="13">
        <f>COUNTIFS(C2:C31,L2,K2:K31,"&gt;=5")</f>
        <v>2</v>
      </c>
    </row>
    <row r="3" spans="1:20" x14ac:dyDescent="0.25">
      <c r="A3" s="1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50000</v>
      </c>
      <c r="G3" s="2">
        <v>10000</v>
      </c>
      <c r="H3" s="2">
        <v>6000</v>
      </c>
      <c r="I3" s="2">
        <v>4000</v>
      </c>
      <c r="J3" s="2">
        <f t="shared" ref="J3:J31" si="0">SUM(F3:H3)-I3</f>
        <v>62000</v>
      </c>
      <c r="K3" s="4">
        <v>5</v>
      </c>
      <c r="L3" s="2" t="s">
        <v>18</v>
      </c>
      <c r="M3" s="2">
        <f>SUMIF(C3:C32,L3,J3:J32)</f>
        <v>321900</v>
      </c>
      <c r="N3" s="5">
        <f>AVERAGEIF(C3:C32,L3,J3:J32)</f>
        <v>53650</v>
      </c>
      <c r="O3" s="2">
        <f t="shared" ref="O3:O6" si="1">COUNTIF(C3:C32,L3)</f>
        <v>6</v>
      </c>
      <c r="P3" s="13">
        <f t="shared" ref="P3:P6" si="2">COUNTIFS(C3:C32,L3,K3:K32,"&gt;=5")</f>
        <v>4</v>
      </c>
    </row>
    <row r="4" spans="1:20" x14ac:dyDescent="0.25">
      <c r="A4" s="1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>
        <v>32000</v>
      </c>
      <c r="G4" s="2">
        <v>6400</v>
      </c>
      <c r="H4" s="2">
        <v>4000</v>
      </c>
      <c r="I4" s="2">
        <v>2000</v>
      </c>
      <c r="J4" s="2">
        <f t="shared" si="0"/>
        <v>40400</v>
      </c>
      <c r="K4" s="4">
        <v>3</v>
      </c>
      <c r="L4" s="2" t="s">
        <v>23</v>
      </c>
      <c r="M4" s="2">
        <f>SUMIF(C4:C33,L4,J4:J34)</f>
        <v>331300</v>
      </c>
      <c r="N4" s="5">
        <f>AVERAGEIF(C4:C33,L4,J4:J34)</f>
        <v>55216.666666666664</v>
      </c>
      <c r="O4" s="2">
        <f t="shared" si="1"/>
        <v>6</v>
      </c>
      <c r="P4" s="13">
        <f t="shared" si="2"/>
        <v>4</v>
      </c>
    </row>
    <row r="5" spans="1:20" x14ac:dyDescent="0.25">
      <c r="A5" s="1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>
        <v>40000</v>
      </c>
      <c r="G5" s="2">
        <v>8000</v>
      </c>
      <c r="H5" s="2">
        <v>5000</v>
      </c>
      <c r="I5" s="2">
        <v>2500</v>
      </c>
      <c r="J5" s="2">
        <f t="shared" si="0"/>
        <v>50500</v>
      </c>
      <c r="K5" s="4">
        <v>6</v>
      </c>
      <c r="L5" s="2" t="s">
        <v>28</v>
      </c>
      <c r="M5" s="2">
        <f>SUMIF(C5:C34,L5,J5:J35)</f>
        <v>348500</v>
      </c>
      <c r="N5" s="5">
        <f>AVERAGEIF(C5:C34,L5,J5:J35)</f>
        <v>58083.333333333336</v>
      </c>
      <c r="O5" s="2">
        <f t="shared" si="1"/>
        <v>6</v>
      </c>
      <c r="P5" s="13">
        <f t="shared" si="2"/>
        <v>4</v>
      </c>
    </row>
    <row r="6" spans="1:20" x14ac:dyDescent="0.25">
      <c r="A6" s="12" t="s">
        <v>31</v>
      </c>
      <c r="B6" s="2" t="s">
        <v>32</v>
      </c>
      <c r="C6" s="2" t="s">
        <v>88</v>
      </c>
      <c r="D6" s="2" t="s">
        <v>19</v>
      </c>
      <c r="E6" s="2" t="s">
        <v>33</v>
      </c>
      <c r="F6" s="2">
        <v>55000</v>
      </c>
      <c r="G6" s="2">
        <v>11000</v>
      </c>
      <c r="H6" s="2">
        <v>7000</v>
      </c>
      <c r="I6" s="2">
        <v>5000</v>
      </c>
      <c r="J6" s="2">
        <f t="shared" si="0"/>
        <v>68000</v>
      </c>
      <c r="K6" s="4">
        <v>7</v>
      </c>
      <c r="L6" s="2" t="s">
        <v>88</v>
      </c>
      <c r="M6" s="2">
        <f>SUMIF(C6:C35,L6,J6:J37)</f>
        <v>322600</v>
      </c>
      <c r="N6" s="5">
        <f>AVERAGEIF(C6:C35,L6,J6:J37)</f>
        <v>53766.666666666664</v>
      </c>
      <c r="O6" s="2">
        <f t="shared" si="1"/>
        <v>6</v>
      </c>
      <c r="P6" s="13">
        <f t="shared" si="2"/>
        <v>5</v>
      </c>
    </row>
    <row r="7" spans="1:20" x14ac:dyDescent="0.25">
      <c r="A7" s="12" t="s">
        <v>34</v>
      </c>
      <c r="B7" s="2" t="s">
        <v>35</v>
      </c>
      <c r="C7" s="2" t="s">
        <v>13</v>
      </c>
      <c r="D7" s="2" t="s">
        <v>24</v>
      </c>
      <c r="E7" s="2" t="s">
        <v>36</v>
      </c>
      <c r="F7" s="2">
        <v>30000</v>
      </c>
      <c r="G7" s="2">
        <v>6000</v>
      </c>
      <c r="H7" s="2">
        <v>4000</v>
      </c>
      <c r="I7" s="2">
        <v>2000</v>
      </c>
      <c r="J7" s="2">
        <f t="shared" si="0"/>
        <v>38000</v>
      </c>
      <c r="K7" s="2">
        <v>2</v>
      </c>
      <c r="L7" s="6"/>
      <c r="M7" s="7"/>
      <c r="N7" s="2"/>
      <c r="O7" s="2"/>
      <c r="P7" s="13"/>
    </row>
    <row r="8" spans="1:20" x14ac:dyDescent="0.25">
      <c r="A8" s="12" t="s">
        <v>37</v>
      </c>
      <c r="B8" s="2" t="s">
        <v>38</v>
      </c>
      <c r="C8" s="2" t="s">
        <v>18</v>
      </c>
      <c r="D8" s="2" t="s">
        <v>14</v>
      </c>
      <c r="E8" s="2" t="s">
        <v>15</v>
      </c>
      <c r="F8" s="2">
        <v>48000</v>
      </c>
      <c r="G8" s="2">
        <v>9600</v>
      </c>
      <c r="H8" s="2">
        <v>6000</v>
      </c>
      <c r="I8" s="2">
        <v>3500</v>
      </c>
      <c r="J8" s="2">
        <f t="shared" si="0"/>
        <v>60100</v>
      </c>
      <c r="K8" s="2">
        <v>9</v>
      </c>
      <c r="L8" s="2"/>
      <c r="M8" s="3"/>
      <c r="N8" s="2"/>
      <c r="O8" s="2"/>
      <c r="P8" s="13"/>
    </row>
    <row r="9" spans="1:20" x14ac:dyDescent="0.25">
      <c r="A9" s="12" t="s">
        <v>39</v>
      </c>
      <c r="B9" s="2" t="s">
        <v>40</v>
      </c>
      <c r="C9" s="2" t="s">
        <v>23</v>
      </c>
      <c r="D9" s="2" t="s">
        <v>14</v>
      </c>
      <c r="E9" s="2" t="s">
        <v>20</v>
      </c>
      <c r="F9" s="2">
        <v>52000</v>
      </c>
      <c r="G9" s="2">
        <v>10400</v>
      </c>
      <c r="H9" s="2">
        <v>7000</v>
      </c>
      <c r="I9" s="2">
        <v>4500</v>
      </c>
      <c r="J9" s="2">
        <f t="shared" si="0"/>
        <v>64900</v>
      </c>
      <c r="K9" s="2">
        <v>10</v>
      </c>
      <c r="L9" s="2"/>
      <c r="M9" s="3"/>
      <c r="N9" s="2"/>
      <c r="O9" s="2"/>
      <c r="P9" s="13"/>
    </row>
    <row r="10" spans="1:20" x14ac:dyDescent="0.25">
      <c r="A10" s="12" t="s">
        <v>41</v>
      </c>
      <c r="B10" s="2" t="s">
        <v>42</v>
      </c>
      <c r="C10" s="2" t="s">
        <v>28</v>
      </c>
      <c r="D10" s="2" t="s">
        <v>43</v>
      </c>
      <c r="E10" s="2" t="s">
        <v>25</v>
      </c>
      <c r="F10" s="2">
        <v>38000</v>
      </c>
      <c r="G10" s="2">
        <v>7600</v>
      </c>
      <c r="H10" s="2">
        <v>4500</v>
      </c>
      <c r="I10" s="2">
        <v>2500</v>
      </c>
      <c r="J10" s="2">
        <f t="shared" si="0"/>
        <v>47600</v>
      </c>
      <c r="K10" s="2">
        <v>4</v>
      </c>
      <c r="L10" s="2"/>
      <c r="M10" s="3"/>
      <c r="N10" s="2"/>
      <c r="O10" s="2"/>
      <c r="P10" s="13"/>
    </row>
    <row r="11" spans="1:20" x14ac:dyDescent="0.25">
      <c r="A11" s="12" t="s">
        <v>44</v>
      </c>
      <c r="B11" s="2" t="s">
        <v>45</v>
      </c>
      <c r="C11" s="2" t="s">
        <v>88</v>
      </c>
      <c r="D11" s="2" t="s">
        <v>46</v>
      </c>
      <c r="E11" s="2" t="s">
        <v>33</v>
      </c>
      <c r="F11" s="2">
        <v>35000</v>
      </c>
      <c r="G11" s="2">
        <v>7000</v>
      </c>
      <c r="H11" s="2">
        <v>4000</v>
      </c>
      <c r="I11" s="2">
        <v>2000</v>
      </c>
      <c r="J11" s="2">
        <f t="shared" si="0"/>
        <v>44000</v>
      </c>
      <c r="K11" s="2">
        <v>5</v>
      </c>
      <c r="L11" s="2"/>
      <c r="M11" s="3"/>
      <c r="N11" s="2"/>
      <c r="O11" s="2"/>
      <c r="P11" s="13"/>
    </row>
    <row r="12" spans="1:20" x14ac:dyDescent="0.25">
      <c r="A12" s="12" t="s">
        <v>47</v>
      </c>
      <c r="B12" s="2" t="s">
        <v>48</v>
      </c>
      <c r="C12" s="2" t="s">
        <v>13</v>
      </c>
      <c r="D12" s="2" t="s">
        <v>24</v>
      </c>
      <c r="E12" s="2" t="s">
        <v>30</v>
      </c>
      <c r="F12" s="2">
        <v>33000</v>
      </c>
      <c r="G12" s="2">
        <v>6600</v>
      </c>
      <c r="H12" s="2">
        <v>3500</v>
      </c>
      <c r="I12" s="2">
        <v>1800</v>
      </c>
      <c r="J12" s="2">
        <f t="shared" si="0"/>
        <v>41300</v>
      </c>
      <c r="K12" s="2">
        <v>3</v>
      </c>
      <c r="L12" s="2"/>
      <c r="M12" s="3"/>
      <c r="N12" s="2"/>
      <c r="O12" s="2"/>
      <c r="P12" s="13"/>
    </row>
    <row r="13" spans="1:20" x14ac:dyDescent="0.25">
      <c r="A13" s="12" t="s">
        <v>49</v>
      </c>
      <c r="B13" s="2" t="s">
        <v>50</v>
      </c>
      <c r="C13" s="2" t="s">
        <v>18</v>
      </c>
      <c r="D13" s="2" t="s">
        <v>29</v>
      </c>
      <c r="E13" s="2" t="s">
        <v>15</v>
      </c>
      <c r="F13" s="2">
        <v>42000</v>
      </c>
      <c r="G13" s="2">
        <v>8400</v>
      </c>
      <c r="H13" s="2">
        <v>5000</v>
      </c>
      <c r="I13" s="2">
        <v>3000</v>
      </c>
      <c r="J13" s="2">
        <f t="shared" si="0"/>
        <v>52400</v>
      </c>
      <c r="K13" s="2">
        <v>7</v>
      </c>
      <c r="L13" s="2"/>
      <c r="M13" s="3"/>
      <c r="N13" s="2"/>
      <c r="O13" s="2"/>
      <c r="P13" s="13"/>
    </row>
    <row r="14" spans="1:20" x14ac:dyDescent="0.25">
      <c r="A14" s="12" t="s">
        <v>51</v>
      </c>
      <c r="B14" s="2" t="s">
        <v>52</v>
      </c>
      <c r="C14" s="2" t="s">
        <v>23</v>
      </c>
      <c r="D14" s="2" t="s">
        <v>14</v>
      </c>
      <c r="E14" s="2" t="s">
        <v>20</v>
      </c>
      <c r="F14" s="2">
        <v>60000</v>
      </c>
      <c r="G14" s="2">
        <v>12000</v>
      </c>
      <c r="H14" s="2">
        <v>8000</v>
      </c>
      <c r="I14" s="2">
        <v>6000</v>
      </c>
      <c r="J14" s="2">
        <f t="shared" si="0"/>
        <v>74000</v>
      </c>
      <c r="K14" s="2">
        <v>12</v>
      </c>
      <c r="L14" s="2"/>
      <c r="M14" s="3"/>
      <c r="N14" s="2"/>
      <c r="O14" s="2"/>
      <c r="P14" s="13"/>
    </row>
    <row r="15" spans="1:20" x14ac:dyDescent="0.25">
      <c r="A15" s="12" t="s">
        <v>53</v>
      </c>
      <c r="B15" s="2" t="s">
        <v>54</v>
      </c>
      <c r="C15" s="2" t="s">
        <v>28</v>
      </c>
      <c r="D15" s="2" t="s">
        <v>24</v>
      </c>
      <c r="E15" s="2" t="s">
        <v>25</v>
      </c>
      <c r="F15" s="2">
        <v>31000</v>
      </c>
      <c r="G15" s="2">
        <v>6200</v>
      </c>
      <c r="H15" s="2">
        <v>4000</v>
      </c>
      <c r="I15" s="2">
        <v>1800</v>
      </c>
      <c r="J15" s="2">
        <f t="shared" si="0"/>
        <v>39400</v>
      </c>
      <c r="K15" s="2">
        <v>2</v>
      </c>
      <c r="L15" s="2"/>
      <c r="M15" s="3"/>
      <c r="N15" s="2"/>
      <c r="O15" s="2"/>
      <c r="P15" s="4"/>
    </row>
    <row r="16" spans="1:20" x14ac:dyDescent="0.25">
      <c r="A16" s="12" t="s">
        <v>55</v>
      </c>
      <c r="B16" s="2" t="s">
        <v>56</v>
      </c>
      <c r="C16" s="2" t="s">
        <v>88</v>
      </c>
      <c r="D16" s="2" t="s">
        <v>57</v>
      </c>
      <c r="E16" s="2" t="s">
        <v>36</v>
      </c>
      <c r="F16" s="2">
        <v>37000</v>
      </c>
      <c r="G16" s="2">
        <v>7400</v>
      </c>
      <c r="H16" s="2">
        <v>4500</v>
      </c>
      <c r="I16" s="2">
        <v>2200</v>
      </c>
      <c r="J16" s="2">
        <f t="shared" si="0"/>
        <v>46700</v>
      </c>
      <c r="K16" s="2">
        <v>4</v>
      </c>
      <c r="L16" s="2"/>
      <c r="M16" s="3"/>
      <c r="N16" s="2"/>
      <c r="O16" s="2"/>
      <c r="P16" s="4"/>
    </row>
    <row r="17" spans="1:16" x14ac:dyDescent="0.25">
      <c r="A17" s="12" t="s">
        <v>58</v>
      </c>
      <c r="B17" s="2" t="s">
        <v>59</v>
      </c>
      <c r="C17" s="2" t="s">
        <v>13</v>
      </c>
      <c r="D17" s="2" t="s">
        <v>24</v>
      </c>
      <c r="E17" s="2" t="s">
        <v>33</v>
      </c>
      <c r="F17" s="2">
        <v>36000</v>
      </c>
      <c r="G17" s="2">
        <v>7200</v>
      </c>
      <c r="H17" s="2">
        <v>4000</v>
      </c>
      <c r="I17" s="2">
        <v>2000</v>
      </c>
      <c r="J17" s="2">
        <f t="shared" si="0"/>
        <v>45200</v>
      </c>
      <c r="K17" s="2">
        <v>3</v>
      </c>
      <c r="L17" s="2"/>
      <c r="M17" s="3"/>
      <c r="N17" s="2"/>
      <c r="O17" s="2"/>
      <c r="P17" s="4"/>
    </row>
    <row r="18" spans="1:16" x14ac:dyDescent="0.25">
      <c r="A18" s="12" t="s">
        <v>60</v>
      </c>
      <c r="B18" s="2" t="s">
        <v>61</v>
      </c>
      <c r="C18" s="2" t="s">
        <v>18</v>
      </c>
      <c r="D18" s="2" t="s">
        <v>19</v>
      </c>
      <c r="E18" s="2" t="s">
        <v>30</v>
      </c>
      <c r="F18" s="2">
        <v>47000</v>
      </c>
      <c r="G18" s="2">
        <v>9400</v>
      </c>
      <c r="H18" s="2">
        <v>6000</v>
      </c>
      <c r="I18" s="2">
        <v>3500</v>
      </c>
      <c r="J18" s="2">
        <f t="shared" si="0"/>
        <v>58900</v>
      </c>
      <c r="K18" s="2">
        <v>6</v>
      </c>
      <c r="L18" s="2"/>
      <c r="M18" s="3"/>
      <c r="N18" s="2"/>
      <c r="O18" s="2"/>
      <c r="P18" s="4"/>
    </row>
    <row r="19" spans="1:16" x14ac:dyDescent="0.25">
      <c r="A19" s="12" t="s">
        <v>62</v>
      </c>
      <c r="B19" s="2" t="s">
        <v>63</v>
      </c>
      <c r="C19" s="2" t="s">
        <v>23</v>
      </c>
      <c r="D19" s="2" t="s">
        <v>14</v>
      </c>
      <c r="E19" s="2" t="s">
        <v>15</v>
      </c>
      <c r="F19" s="2">
        <v>46000</v>
      </c>
      <c r="G19" s="2">
        <v>9200</v>
      </c>
      <c r="H19" s="2">
        <v>5500</v>
      </c>
      <c r="I19" s="2">
        <v>3000</v>
      </c>
      <c r="J19" s="2">
        <f t="shared" si="0"/>
        <v>57700</v>
      </c>
      <c r="K19" s="2">
        <v>8</v>
      </c>
      <c r="L19" s="2"/>
      <c r="M19" s="3"/>
      <c r="N19" s="2"/>
      <c r="O19" s="2"/>
      <c r="P19" s="4"/>
    </row>
    <row r="20" spans="1:16" x14ac:dyDescent="0.25">
      <c r="A20" s="12" t="s">
        <v>64</v>
      </c>
      <c r="B20" s="2" t="s">
        <v>65</v>
      </c>
      <c r="C20" s="2" t="s">
        <v>28</v>
      </c>
      <c r="D20" s="2" t="s">
        <v>14</v>
      </c>
      <c r="E20" s="2" t="s">
        <v>20</v>
      </c>
      <c r="F20" s="2">
        <v>50000</v>
      </c>
      <c r="G20" s="2">
        <v>10000</v>
      </c>
      <c r="H20" s="2">
        <v>6500</v>
      </c>
      <c r="I20" s="2">
        <v>4000</v>
      </c>
      <c r="J20" s="2">
        <f t="shared" si="0"/>
        <v>62500</v>
      </c>
      <c r="K20" s="2">
        <v>10</v>
      </c>
      <c r="L20" s="2"/>
      <c r="M20" s="3"/>
      <c r="N20" s="2"/>
      <c r="O20" s="2"/>
      <c r="P20" s="4"/>
    </row>
    <row r="21" spans="1:16" x14ac:dyDescent="0.25">
      <c r="A21" s="12" t="s">
        <v>66</v>
      </c>
      <c r="B21" s="2" t="s">
        <v>67</v>
      </c>
      <c r="C21" s="2" t="s">
        <v>88</v>
      </c>
      <c r="D21" s="2" t="s">
        <v>29</v>
      </c>
      <c r="E21" s="2" t="s">
        <v>25</v>
      </c>
      <c r="F21" s="2">
        <v>39000</v>
      </c>
      <c r="G21" s="2">
        <v>7800</v>
      </c>
      <c r="H21" s="2">
        <v>4500</v>
      </c>
      <c r="I21" s="2">
        <v>2500</v>
      </c>
      <c r="J21" s="2">
        <f t="shared" si="0"/>
        <v>48800</v>
      </c>
      <c r="K21" s="2">
        <v>5</v>
      </c>
      <c r="L21" s="2"/>
      <c r="M21" s="3"/>
      <c r="N21" s="2"/>
      <c r="O21" s="2"/>
      <c r="P21" s="4"/>
    </row>
    <row r="22" spans="1:16" x14ac:dyDescent="0.25">
      <c r="A22" s="12" t="s">
        <v>68</v>
      </c>
      <c r="B22" s="2" t="s">
        <v>69</v>
      </c>
      <c r="C22" s="2" t="s">
        <v>13</v>
      </c>
      <c r="D22" s="2" t="s">
        <v>19</v>
      </c>
      <c r="E22" s="2" t="s">
        <v>36</v>
      </c>
      <c r="F22" s="2">
        <v>53000</v>
      </c>
      <c r="G22" s="2">
        <v>10600</v>
      </c>
      <c r="H22" s="2">
        <v>7000</v>
      </c>
      <c r="I22" s="2">
        <v>4500</v>
      </c>
      <c r="J22" s="2">
        <f t="shared" si="0"/>
        <v>66100</v>
      </c>
      <c r="K22" s="2">
        <v>7</v>
      </c>
      <c r="L22" s="2"/>
      <c r="M22" s="3"/>
      <c r="N22" s="2"/>
      <c r="O22" s="2"/>
      <c r="P22" s="4"/>
    </row>
    <row r="23" spans="1:16" x14ac:dyDescent="0.25">
      <c r="A23" s="12" t="s">
        <v>70</v>
      </c>
      <c r="B23" s="2" t="s">
        <v>71</v>
      </c>
      <c r="C23" s="2" t="s">
        <v>18</v>
      </c>
      <c r="D23" s="2" t="s">
        <v>46</v>
      </c>
      <c r="E23" s="2" t="s">
        <v>33</v>
      </c>
      <c r="F23" s="2">
        <v>34000</v>
      </c>
      <c r="G23" s="2">
        <v>6800</v>
      </c>
      <c r="H23" s="2">
        <v>4000</v>
      </c>
      <c r="I23" s="2">
        <v>1800</v>
      </c>
      <c r="J23" s="2">
        <f t="shared" si="0"/>
        <v>43000</v>
      </c>
      <c r="K23" s="2">
        <v>3</v>
      </c>
      <c r="L23" s="2"/>
      <c r="M23" s="3"/>
      <c r="N23" s="2"/>
      <c r="O23" s="2"/>
      <c r="P23" s="4"/>
    </row>
    <row r="24" spans="1:16" x14ac:dyDescent="0.25">
      <c r="A24" s="12" t="s">
        <v>72</v>
      </c>
      <c r="B24" s="2" t="s">
        <v>73</v>
      </c>
      <c r="C24" s="2" t="s">
        <v>23</v>
      </c>
      <c r="D24" s="2" t="s">
        <v>24</v>
      </c>
      <c r="E24" s="2" t="s">
        <v>30</v>
      </c>
      <c r="F24" s="2">
        <v>31000</v>
      </c>
      <c r="G24" s="2">
        <v>6200</v>
      </c>
      <c r="H24" s="2">
        <v>3500</v>
      </c>
      <c r="I24" s="2">
        <v>1700</v>
      </c>
      <c r="J24" s="2">
        <f t="shared" si="0"/>
        <v>39000</v>
      </c>
      <c r="K24" s="2">
        <v>2</v>
      </c>
      <c r="L24" s="2"/>
      <c r="M24" s="3"/>
      <c r="N24" s="2"/>
      <c r="O24" s="2"/>
      <c r="P24" s="4"/>
    </row>
    <row r="25" spans="1:16" x14ac:dyDescent="0.25">
      <c r="A25" s="12" t="s">
        <v>74</v>
      </c>
      <c r="B25" s="2" t="s">
        <v>75</v>
      </c>
      <c r="C25" s="2" t="s">
        <v>28</v>
      </c>
      <c r="D25" s="2" t="s">
        <v>14</v>
      </c>
      <c r="E25" s="2" t="s">
        <v>15</v>
      </c>
      <c r="F25" s="2">
        <v>58000</v>
      </c>
      <c r="G25" s="2">
        <v>11600</v>
      </c>
      <c r="H25" s="2">
        <v>7500</v>
      </c>
      <c r="I25" s="2">
        <v>5000</v>
      </c>
      <c r="J25" s="2">
        <f t="shared" si="0"/>
        <v>72100</v>
      </c>
      <c r="K25" s="2">
        <v>11</v>
      </c>
      <c r="L25" s="2"/>
      <c r="M25" s="3"/>
      <c r="N25" s="2"/>
      <c r="O25" s="2"/>
      <c r="P25" s="4"/>
    </row>
    <row r="26" spans="1:16" x14ac:dyDescent="0.25">
      <c r="A26" s="12" t="s">
        <v>76</v>
      </c>
      <c r="B26" s="2" t="s">
        <v>77</v>
      </c>
      <c r="C26" s="2" t="s">
        <v>88</v>
      </c>
      <c r="D26" s="2" t="s">
        <v>43</v>
      </c>
      <c r="E26" s="2" t="s">
        <v>20</v>
      </c>
      <c r="F26" s="2">
        <v>41000</v>
      </c>
      <c r="G26" s="2">
        <v>8200</v>
      </c>
      <c r="H26" s="2">
        <v>5000</v>
      </c>
      <c r="I26" s="2">
        <v>2800</v>
      </c>
      <c r="J26" s="2">
        <f t="shared" si="0"/>
        <v>51400</v>
      </c>
      <c r="K26" s="2">
        <v>5</v>
      </c>
      <c r="L26" s="2"/>
      <c r="M26" s="3"/>
      <c r="N26" s="2"/>
      <c r="O26" s="2"/>
      <c r="P26" s="4"/>
    </row>
    <row r="27" spans="1:16" x14ac:dyDescent="0.25">
      <c r="A27" s="12" t="s">
        <v>78</v>
      </c>
      <c r="B27" s="2" t="s">
        <v>79</v>
      </c>
      <c r="C27" s="2" t="s">
        <v>13</v>
      </c>
      <c r="D27" s="2" t="s">
        <v>24</v>
      </c>
      <c r="E27" s="2" t="s">
        <v>25</v>
      </c>
      <c r="F27" s="2">
        <v>33000</v>
      </c>
      <c r="G27" s="2">
        <v>6600</v>
      </c>
      <c r="H27" s="2">
        <v>4000</v>
      </c>
      <c r="I27" s="2">
        <v>2000</v>
      </c>
      <c r="J27" s="2">
        <f t="shared" si="0"/>
        <v>41600</v>
      </c>
      <c r="K27" s="2">
        <v>4</v>
      </c>
      <c r="L27" s="2"/>
      <c r="M27" s="3"/>
      <c r="N27" s="2"/>
      <c r="O27" s="2"/>
      <c r="P27" s="4"/>
    </row>
    <row r="28" spans="1:16" x14ac:dyDescent="0.25">
      <c r="A28" s="12" t="s">
        <v>80</v>
      </c>
      <c r="B28" s="2" t="s">
        <v>81</v>
      </c>
      <c r="C28" s="2" t="s">
        <v>18</v>
      </c>
      <c r="D28" s="2" t="s">
        <v>57</v>
      </c>
      <c r="E28" s="2" t="s">
        <v>36</v>
      </c>
      <c r="F28" s="2">
        <v>36000</v>
      </c>
      <c r="G28" s="2">
        <v>7200</v>
      </c>
      <c r="H28" s="2">
        <v>4500</v>
      </c>
      <c r="I28" s="2">
        <v>2200</v>
      </c>
      <c r="J28" s="2">
        <f t="shared" si="0"/>
        <v>45500</v>
      </c>
      <c r="K28" s="2">
        <v>3</v>
      </c>
      <c r="L28" s="2"/>
      <c r="M28" s="3"/>
      <c r="N28" s="2"/>
      <c r="O28" s="2"/>
      <c r="P28" s="4"/>
    </row>
    <row r="29" spans="1:16" x14ac:dyDescent="0.25">
      <c r="A29" s="12" t="s">
        <v>82</v>
      </c>
      <c r="B29" s="2" t="s">
        <v>83</v>
      </c>
      <c r="C29" s="2" t="s">
        <v>23</v>
      </c>
      <c r="D29" s="2" t="s">
        <v>29</v>
      </c>
      <c r="E29" s="2" t="s">
        <v>33</v>
      </c>
      <c r="F29" s="2">
        <v>44000</v>
      </c>
      <c r="G29" s="2">
        <v>8800</v>
      </c>
      <c r="H29" s="2">
        <v>5500</v>
      </c>
      <c r="I29" s="2">
        <v>3000</v>
      </c>
      <c r="J29" s="2">
        <f t="shared" si="0"/>
        <v>55300</v>
      </c>
      <c r="K29" s="2">
        <v>6</v>
      </c>
      <c r="L29" s="2"/>
      <c r="M29" s="3"/>
      <c r="N29" s="2"/>
      <c r="O29" s="2"/>
      <c r="P29" s="4"/>
    </row>
    <row r="30" spans="1:16" x14ac:dyDescent="0.25">
      <c r="A30" s="12" t="s">
        <v>84</v>
      </c>
      <c r="B30" s="2" t="s">
        <v>85</v>
      </c>
      <c r="C30" s="2" t="s">
        <v>28</v>
      </c>
      <c r="D30" s="2" t="s">
        <v>14</v>
      </c>
      <c r="E30" s="2" t="s">
        <v>30</v>
      </c>
      <c r="F30" s="2">
        <v>62000</v>
      </c>
      <c r="G30" s="2">
        <v>12400</v>
      </c>
      <c r="H30" s="2">
        <v>8000</v>
      </c>
      <c r="I30" s="2">
        <v>6000</v>
      </c>
      <c r="J30" s="2">
        <f t="shared" si="0"/>
        <v>76400</v>
      </c>
      <c r="K30" s="2">
        <v>13</v>
      </c>
      <c r="L30" s="2"/>
      <c r="M30" s="3"/>
      <c r="N30" s="2"/>
      <c r="O30" s="2"/>
      <c r="P30" s="4"/>
    </row>
    <row r="31" spans="1:16" x14ac:dyDescent="0.25">
      <c r="A31" s="18" t="s">
        <v>86</v>
      </c>
      <c r="B31" s="19" t="s">
        <v>87</v>
      </c>
      <c r="C31" s="19" t="s">
        <v>88</v>
      </c>
      <c r="D31" s="19" t="s">
        <v>14</v>
      </c>
      <c r="E31" s="19" t="s">
        <v>15</v>
      </c>
      <c r="F31" s="19">
        <v>51000</v>
      </c>
      <c r="G31" s="19">
        <v>10200</v>
      </c>
      <c r="H31" s="19">
        <v>6500</v>
      </c>
      <c r="I31" s="19">
        <v>4000</v>
      </c>
      <c r="J31" s="19">
        <f t="shared" si="0"/>
        <v>63700</v>
      </c>
      <c r="K31" s="19">
        <v>9</v>
      </c>
      <c r="L31" s="19"/>
      <c r="M31" s="20"/>
      <c r="N31" s="19"/>
      <c r="O31" s="19"/>
      <c r="P31" s="21"/>
    </row>
    <row r="34" spans="9:10" x14ac:dyDescent="0.25">
      <c r="I34" s="2" t="s">
        <v>95</v>
      </c>
      <c r="J34" s="2" t="str">
        <f>INDEX(B2:B31,MATCH(J35,J2:J31,0))</f>
        <v>Varun Singh</v>
      </c>
    </row>
    <row r="35" spans="9:10" x14ac:dyDescent="0.25">
      <c r="I35" s="2" t="s">
        <v>91</v>
      </c>
      <c r="J35" s="2">
        <f>MAX(J2:J31)</f>
        <v>76400</v>
      </c>
    </row>
    <row r="36" spans="9:10" x14ac:dyDescent="0.25">
      <c r="I36" s="2" t="s">
        <v>96</v>
      </c>
      <c r="J36" s="2" t="str">
        <f>INDEX(B3:B32,MATCH(J37,J3:J32,0))</f>
        <v>Pooja Yadav</v>
      </c>
    </row>
    <row r="37" spans="9:10" x14ac:dyDescent="0.25">
      <c r="I37" s="2" t="s">
        <v>90</v>
      </c>
      <c r="J37" s="2">
        <f>MIN(J2:J31)</f>
        <v>38000</v>
      </c>
    </row>
  </sheetData>
  <conditionalFormatting sqref="J2:J31">
    <cfRule type="cellIs" dxfId="0" priority="1" operator="greaterThan">
      <formula>50000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C2B7E-D0A6-4AE5-AAF6-5629FE9F545B}">
  <dimension ref="D4:F10"/>
  <sheetViews>
    <sheetView topLeftCell="A8" workbookViewId="0">
      <selection activeCell="A17" sqref="A17"/>
    </sheetView>
  </sheetViews>
  <sheetFormatPr defaultRowHeight="15" x14ac:dyDescent="0.25"/>
  <cols>
    <col min="1" max="1" width="13.42578125" bestFit="1" customWidth="1"/>
    <col min="2" max="2" width="21" bestFit="1" customWidth="1"/>
    <col min="3" max="3" width="20.28515625" bestFit="1" customWidth="1"/>
    <col min="4" max="4" width="24.28515625" bestFit="1" customWidth="1"/>
    <col min="5" max="5" width="13.42578125" bestFit="1" customWidth="1"/>
    <col min="6" max="6" width="23.140625" bestFit="1" customWidth="1"/>
    <col min="7" max="7" width="21" bestFit="1" customWidth="1"/>
    <col min="8" max="8" width="13.42578125" bestFit="1" customWidth="1"/>
    <col min="9" max="9" width="23.140625" bestFit="1" customWidth="1"/>
  </cols>
  <sheetData>
    <row r="4" spans="4:6" x14ac:dyDescent="0.25">
      <c r="D4" s="9" t="s">
        <v>97</v>
      </c>
      <c r="E4" t="s">
        <v>100</v>
      </c>
      <c r="F4" t="s">
        <v>99</v>
      </c>
    </row>
    <row r="5" spans="4:6" x14ac:dyDescent="0.25">
      <c r="D5" s="10" t="s">
        <v>28</v>
      </c>
      <c r="E5" s="11">
        <v>6</v>
      </c>
      <c r="F5" s="11">
        <v>58083.333333333336</v>
      </c>
    </row>
    <row r="6" spans="4:6" x14ac:dyDescent="0.25">
      <c r="D6" s="10" t="s">
        <v>13</v>
      </c>
      <c r="E6" s="11">
        <v>6</v>
      </c>
      <c r="F6" s="11">
        <v>48033.333333333336</v>
      </c>
    </row>
    <row r="7" spans="4:6" x14ac:dyDescent="0.25">
      <c r="D7" s="10" t="s">
        <v>18</v>
      </c>
      <c r="E7" s="11">
        <v>6</v>
      </c>
      <c r="F7" s="11">
        <v>53650</v>
      </c>
    </row>
    <row r="8" spans="4:6" x14ac:dyDescent="0.25">
      <c r="D8" s="10" t="s">
        <v>88</v>
      </c>
      <c r="E8" s="11">
        <v>6</v>
      </c>
      <c r="F8" s="11">
        <v>53766.666666666664</v>
      </c>
    </row>
    <row r="9" spans="4:6" x14ac:dyDescent="0.25">
      <c r="D9" s="10" t="s">
        <v>23</v>
      </c>
      <c r="E9" s="11">
        <v>6</v>
      </c>
      <c r="F9" s="11">
        <v>55216.666666666664</v>
      </c>
    </row>
    <row r="10" spans="4:6" x14ac:dyDescent="0.25">
      <c r="D10" s="10" t="s">
        <v>98</v>
      </c>
      <c r="E10" s="11">
        <v>30</v>
      </c>
      <c r="F10" s="11">
        <v>53750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Supriya</dc:creator>
  <cp:lastModifiedBy>Supriya</cp:lastModifiedBy>
  <dcterms:created xsi:type="dcterms:W3CDTF">2026-09-17T06:59:12Z</dcterms:created>
  <dcterms:modified xsi:type="dcterms:W3CDTF">2026-09-18T05:40:21Z</dcterms:modified>
</cp:coreProperties>
</file>